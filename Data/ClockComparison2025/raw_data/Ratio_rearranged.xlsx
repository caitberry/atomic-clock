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smt3/Documents/GitHub/2025 clock comparison data/"/>
    </mc:Choice>
  </mc:AlternateContent>
  <xr:revisionPtr revIDLastSave="0" documentId="13_ncr:1_{923B37A9-B8D6-F946-BE1A-DCC969170D93}" xr6:coauthVersionLast="47" xr6:coauthVersionMax="47" xr10:uidLastSave="{00000000-0000-0000-0000-000000000000}"/>
  <bookViews>
    <workbookView xWindow="35080" yWindow="-21600" windowWidth="32380" windowHeight="21600" activeTab="5" xr2:uid="{00000000-000D-0000-FFFF-FFFF00000000}"/>
  </bookViews>
  <sheets>
    <sheet name="KK" sheetId="1" r:id="rId1"/>
    <sheet name="NN" sheetId="2" r:id="rId2"/>
    <sheet name="JS YbReRunShifts" sheetId="3" r:id="rId3"/>
    <sheet name="MCM" sheetId="4" r:id="rId4"/>
    <sheet name="Diffs" sheetId="5" r:id="rId5"/>
    <sheet name="ST_diffs" sheetId="6" r:id="rId6"/>
    <sheet name="J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6" l="1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J22" i="6"/>
  <c r="I22" i="6"/>
  <c r="H22" i="6"/>
  <c r="G22" i="6"/>
  <c r="F22" i="6"/>
  <c r="E22" i="6"/>
  <c r="D22" i="6"/>
  <c r="C22" i="6"/>
  <c r="B22" i="6"/>
  <c r="J21" i="6"/>
  <c r="I21" i="6"/>
  <c r="H21" i="6"/>
  <c r="G21" i="6"/>
  <c r="F21" i="6"/>
  <c r="E21" i="6"/>
  <c r="D21" i="6"/>
  <c r="C21" i="6"/>
  <c r="B21" i="6"/>
  <c r="J20" i="6"/>
  <c r="I20" i="6"/>
  <c r="H20" i="6"/>
  <c r="G20" i="6"/>
  <c r="F20" i="6"/>
  <c r="E20" i="6"/>
  <c r="D20" i="6"/>
  <c r="C20" i="6"/>
  <c r="B20" i="6"/>
  <c r="J19" i="6"/>
  <c r="I19" i="6"/>
  <c r="H19" i="6"/>
  <c r="G19" i="6"/>
  <c r="F19" i="6"/>
  <c r="E19" i="6"/>
  <c r="D19" i="6"/>
  <c r="C19" i="6"/>
  <c r="B19" i="6"/>
  <c r="M13" i="6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J6" i="6"/>
  <c r="I6" i="6"/>
  <c r="H6" i="6"/>
  <c r="G6" i="6"/>
  <c r="F6" i="6"/>
  <c r="E6" i="6"/>
  <c r="D6" i="6"/>
  <c r="C6" i="6"/>
  <c r="B6" i="6"/>
  <c r="J5" i="6"/>
  <c r="I5" i="6"/>
  <c r="H5" i="6"/>
  <c r="G5" i="6"/>
  <c r="F5" i="6"/>
  <c r="E5" i="6"/>
  <c r="D5" i="6"/>
  <c r="C5" i="6"/>
  <c r="B5" i="6"/>
  <c r="J4" i="6"/>
  <c r="I4" i="6"/>
  <c r="H4" i="6"/>
  <c r="G4" i="6"/>
  <c r="F4" i="6"/>
  <c r="E4" i="6"/>
  <c r="D4" i="6"/>
  <c r="C4" i="6"/>
  <c r="B4" i="6"/>
  <c r="J3" i="6"/>
  <c r="I3" i="6"/>
  <c r="H3" i="6"/>
  <c r="G3" i="6"/>
  <c r="F3" i="6"/>
  <c r="E3" i="6"/>
  <c r="D3" i="6"/>
  <c r="C3" i="6"/>
  <c r="B3" i="6"/>
  <c r="AA39" i="5"/>
  <c r="Y39" i="5"/>
  <c r="W39" i="5"/>
  <c r="U39" i="5"/>
  <c r="S39" i="5"/>
  <c r="Q39" i="5"/>
  <c r="AC39" i="5" s="1"/>
  <c r="L39" i="5"/>
  <c r="J39" i="5"/>
  <c r="H39" i="5"/>
  <c r="F39" i="5"/>
  <c r="D39" i="5"/>
  <c r="B39" i="5"/>
  <c r="N39" i="5" s="1"/>
  <c r="AB38" i="5"/>
  <c r="AA38" i="5"/>
  <c r="Z38" i="5"/>
  <c r="Y38" i="5"/>
  <c r="X38" i="5"/>
  <c r="W38" i="5"/>
  <c r="V38" i="5"/>
  <c r="U38" i="5"/>
  <c r="T38" i="5"/>
  <c r="S38" i="5"/>
  <c r="R38" i="5"/>
  <c r="Q38" i="5"/>
  <c r="M38" i="5"/>
  <c r="L38" i="5"/>
  <c r="K38" i="5"/>
  <c r="J38" i="5"/>
  <c r="I38" i="5"/>
  <c r="H38" i="5"/>
  <c r="G38" i="5"/>
  <c r="F38" i="5"/>
  <c r="E38" i="5"/>
  <c r="D38" i="5"/>
  <c r="C38" i="5"/>
  <c r="B38" i="5"/>
  <c r="AB37" i="5"/>
  <c r="AA37" i="5"/>
  <c r="Z37" i="5"/>
  <c r="Y37" i="5"/>
  <c r="X37" i="5"/>
  <c r="W37" i="5"/>
  <c r="V37" i="5"/>
  <c r="U37" i="5"/>
  <c r="T37" i="5"/>
  <c r="S37" i="5"/>
  <c r="R37" i="5"/>
  <c r="Q37" i="5"/>
  <c r="M37" i="5"/>
  <c r="L37" i="5"/>
  <c r="K37" i="5"/>
  <c r="J37" i="5"/>
  <c r="I37" i="5"/>
  <c r="H37" i="5"/>
  <c r="G37" i="5"/>
  <c r="F37" i="5"/>
  <c r="E37" i="5"/>
  <c r="D37" i="5"/>
  <c r="C37" i="5"/>
  <c r="B37" i="5"/>
  <c r="AB36" i="5"/>
  <c r="AA36" i="5"/>
  <c r="Z36" i="5"/>
  <c r="Y36" i="5"/>
  <c r="X36" i="5"/>
  <c r="W36" i="5"/>
  <c r="V36" i="5"/>
  <c r="U36" i="5"/>
  <c r="T36" i="5"/>
  <c r="S36" i="5"/>
  <c r="R36" i="5"/>
  <c r="Q36" i="5"/>
  <c r="M36" i="5"/>
  <c r="L36" i="5"/>
  <c r="K36" i="5"/>
  <c r="J36" i="5"/>
  <c r="I36" i="5"/>
  <c r="H36" i="5"/>
  <c r="G36" i="5"/>
  <c r="F36" i="5"/>
  <c r="E36" i="5"/>
  <c r="D36" i="5"/>
  <c r="C36" i="5"/>
  <c r="B36" i="5"/>
  <c r="AB35" i="5"/>
  <c r="AA35" i="5"/>
  <c r="Z35" i="5"/>
  <c r="Y35" i="5"/>
  <c r="X35" i="5"/>
  <c r="W35" i="5"/>
  <c r="V35" i="5"/>
  <c r="U35" i="5"/>
  <c r="T35" i="5"/>
  <c r="S35" i="5"/>
  <c r="R35" i="5"/>
  <c r="Q35" i="5"/>
  <c r="M35" i="5"/>
  <c r="L35" i="5"/>
  <c r="K35" i="5"/>
  <c r="J35" i="5"/>
  <c r="I35" i="5"/>
  <c r="H35" i="5"/>
  <c r="G35" i="5"/>
  <c r="F35" i="5"/>
  <c r="E35" i="5"/>
  <c r="D35" i="5"/>
  <c r="C35" i="5"/>
  <c r="B35" i="5"/>
  <c r="AB34" i="5"/>
  <c r="AA34" i="5"/>
  <c r="Z34" i="5"/>
  <c r="Y34" i="5"/>
  <c r="X34" i="5"/>
  <c r="W34" i="5"/>
  <c r="V34" i="5"/>
  <c r="U34" i="5"/>
  <c r="T34" i="5"/>
  <c r="S34" i="5"/>
  <c r="R34" i="5"/>
  <c r="Q34" i="5"/>
  <c r="M34" i="5"/>
  <c r="L34" i="5"/>
  <c r="K34" i="5"/>
  <c r="J34" i="5"/>
  <c r="I34" i="5"/>
  <c r="H34" i="5"/>
  <c r="G34" i="5"/>
  <c r="F34" i="5"/>
  <c r="E34" i="5"/>
  <c r="D34" i="5"/>
  <c r="C34" i="5"/>
  <c r="B34" i="5"/>
  <c r="AB33" i="5"/>
  <c r="AA33" i="5"/>
  <c r="Z33" i="5"/>
  <c r="Y33" i="5"/>
  <c r="X33" i="5"/>
  <c r="W33" i="5"/>
  <c r="V33" i="5"/>
  <c r="U33" i="5"/>
  <c r="T33" i="5"/>
  <c r="S33" i="5"/>
  <c r="R33" i="5"/>
  <c r="Q33" i="5"/>
  <c r="M33" i="5"/>
  <c r="L33" i="5"/>
  <c r="K33" i="5"/>
  <c r="J33" i="5"/>
  <c r="I33" i="5"/>
  <c r="H33" i="5"/>
  <c r="G33" i="5"/>
  <c r="F33" i="5"/>
  <c r="E33" i="5"/>
  <c r="D33" i="5"/>
  <c r="C33" i="5"/>
  <c r="B33" i="5"/>
  <c r="AB32" i="5"/>
  <c r="AA32" i="5"/>
  <c r="Z32" i="5"/>
  <c r="Y32" i="5"/>
  <c r="X32" i="5"/>
  <c r="W32" i="5"/>
  <c r="V32" i="5"/>
  <c r="U32" i="5"/>
  <c r="T32" i="5"/>
  <c r="S32" i="5"/>
  <c r="R32" i="5"/>
  <c r="Q32" i="5"/>
  <c r="M32" i="5"/>
  <c r="L32" i="5"/>
  <c r="K32" i="5"/>
  <c r="J32" i="5"/>
  <c r="I32" i="5"/>
  <c r="H32" i="5"/>
  <c r="G32" i="5"/>
  <c r="F32" i="5"/>
  <c r="E32" i="5"/>
  <c r="D32" i="5"/>
  <c r="C32" i="5"/>
  <c r="B32" i="5"/>
  <c r="AB31" i="5"/>
  <c r="AA31" i="5"/>
  <c r="Z31" i="5"/>
  <c r="Y31" i="5"/>
  <c r="X31" i="5"/>
  <c r="W31" i="5"/>
  <c r="V31" i="5"/>
  <c r="U31" i="5"/>
  <c r="T31" i="5"/>
  <c r="S31" i="5"/>
  <c r="R31" i="5"/>
  <c r="Q31" i="5"/>
  <c r="M31" i="5"/>
  <c r="L31" i="5"/>
  <c r="K31" i="5"/>
  <c r="J31" i="5"/>
  <c r="I31" i="5"/>
  <c r="H31" i="5"/>
  <c r="G31" i="5"/>
  <c r="F31" i="5"/>
  <c r="E31" i="5"/>
  <c r="D31" i="5"/>
  <c r="C31" i="5"/>
  <c r="B31" i="5"/>
  <c r="AB30" i="5"/>
  <c r="AA30" i="5"/>
  <c r="Z30" i="5"/>
  <c r="Y30" i="5"/>
  <c r="X30" i="5"/>
  <c r="W30" i="5"/>
  <c r="V30" i="5"/>
  <c r="U30" i="5"/>
  <c r="T30" i="5"/>
  <c r="S30" i="5"/>
  <c r="R30" i="5"/>
  <c r="Q30" i="5"/>
  <c r="M30" i="5"/>
  <c r="L30" i="5"/>
  <c r="K30" i="5"/>
  <c r="J30" i="5"/>
  <c r="I30" i="5"/>
  <c r="H30" i="5"/>
  <c r="G30" i="5"/>
  <c r="F30" i="5"/>
  <c r="E30" i="5"/>
  <c r="D30" i="5"/>
  <c r="C30" i="5"/>
  <c r="B30" i="5"/>
  <c r="AA25" i="5"/>
  <c r="Y25" i="5"/>
  <c r="W25" i="5"/>
  <c r="U25" i="5"/>
  <c r="S25" i="5"/>
  <c r="Q25" i="5"/>
  <c r="AC25" i="5" s="1"/>
  <c r="L25" i="5"/>
  <c r="J25" i="5"/>
  <c r="H25" i="5"/>
  <c r="F25" i="5"/>
  <c r="D25" i="5"/>
  <c r="B25" i="5"/>
  <c r="N25" i="5" s="1"/>
  <c r="AB24" i="5"/>
  <c r="AA24" i="5"/>
  <c r="Z24" i="5"/>
  <c r="Y24" i="5"/>
  <c r="X24" i="5"/>
  <c r="W24" i="5"/>
  <c r="V24" i="5"/>
  <c r="U24" i="5"/>
  <c r="T24" i="5"/>
  <c r="S24" i="5"/>
  <c r="R24" i="5"/>
  <c r="Q24" i="5"/>
  <c r="M24" i="5"/>
  <c r="L24" i="5"/>
  <c r="K24" i="5"/>
  <c r="J24" i="5"/>
  <c r="I24" i="5"/>
  <c r="H24" i="5"/>
  <c r="G24" i="5"/>
  <c r="F24" i="5"/>
  <c r="E24" i="5"/>
  <c r="D24" i="5"/>
  <c r="C24" i="5"/>
  <c r="B24" i="5"/>
  <c r="AB23" i="5"/>
  <c r="AA23" i="5"/>
  <c r="Z23" i="5"/>
  <c r="Y23" i="5"/>
  <c r="X23" i="5"/>
  <c r="W23" i="5"/>
  <c r="V23" i="5"/>
  <c r="U23" i="5"/>
  <c r="T23" i="5"/>
  <c r="S23" i="5"/>
  <c r="R23" i="5"/>
  <c r="Q23" i="5"/>
  <c r="M23" i="5"/>
  <c r="L23" i="5"/>
  <c r="K23" i="5"/>
  <c r="J23" i="5"/>
  <c r="I23" i="5"/>
  <c r="H23" i="5"/>
  <c r="G23" i="5"/>
  <c r="F23" i="5"/>
  <c r="E23" i="5"/>
  <c r="D23" i="5"/>
  <c r="C23" i="5"/>
  <c r="B23" i="5"/>
  <c r="AB22" i="5"/>
  <c r="AA22" i="5"/>
  <c r="Z22" i="5"/>
  <c r="Y22" i="5"/>
  <c r="X22" i="5"/>
  <c r="W22" i="5"/>
  <c r="V22" i="5"/>
  <c r="U22" i="5"/>
  <c r="T22" i="5"/>
  <c r="S22" i="5"/>
  <c r="R22" i="5"/>
  <c r="Q22" i="5"/>
  <c r="M22" i="5"/>
  <c r="L22" i="5"/>
  <c r="K22" i="5"/>
  <c r="J22" i="5"/>
  <c r="I22" i="5"/>
  <c r="H22" i="5"/>
  <c r="G22" i="5"/>
  <c r="F22" i="5"/>
  <c r="E22" i="5"/>
  <c r="D22" i="5"/>
  <c r="C22" i="5"/>
  <c r="B22" i="5"/>
  <c r="AB21" i="5"/>
  <c r="AA21" i="5"/>
  <c r="Z21" i="5"/>
  <c r="Y21" i="5"/>
  <c r="X21" i="5"/>
  <c r="W21" i="5"/>
  <c r="V21" i="5"/>
  <c r="U21" i="5"/>
  <c r="T21" i="5"/>
  <c r="S21" i="5"/>
  <c r="R21" i="5"/>
  <c r="Q21" i="5"/>
  <c r="M21" i="5"/>
  <c r="L21" i="5"/>
  <c r="K21" i="5"/>
  <c r="J21" i="5"/>
  <c r="I21" i="5"/>
  <c r="H21" i="5"/>
  <c r="G21" i="5"/>
  <c r="F21" i="5"/>
  <c r="E21" i="5"/>
  <c r="D21" i="5"/>
  <c r="C21" i="5"/>
  <c r="B21" i="5"/>
  <c r="AB20" i="5"/>
  <c r="AA20" i="5"/>
  <c r="Z20" i="5"/>
  <c r="Y20" i="5"/>
  <c r="X20" i="5"/>
  <c r="W20" i="5"/>
  <c r="V20" i="5"/>
  <c r="U20" i="5"/>
  <c r="T20" i="5"/>
  <c r="S20" i="5"/>
  <c r="R20" i="5"/>
  <c r="Q20" i="5"/>
  <c r="M20" i="5"/>
  <c r="L20" i="5"/>
  <c r="K20" i="5"/>
  <c r="J20" i="5"/>
  <c r="I20" i="5"/>
  <c r="H20" i="5"/>
  <c r="G20" i="5"/>
  <c r="F20" i="5"/>
  <c r="E20" i="5"/>
  <c r="D20" i="5"/>
  <c r="C20" i="5"/>
  <c r="B20" i="5"/>
  <c r="AB19" i="5"/>
  <c r="AA19" i="5"/>
  <c r="Z19" i="5"/>
  <c r="Y19" i="5"/>
  <c r="X19" i="5"/>
  <c r="W19" i="5"/>
  <c r="V19" i="5"/>
  <c r="U19" i="5"/>
  <c r="T19" i="5"/>
  <c r="S19" i="5"/>
  <c r="R19" i="5"/>
  <c r="Q19" i="5"/>
  <c r="M19" i="5"/>
  <c r="L19" i="5"/>
  <c r="K19" i="5"/>
  <c r="J19" i="5"/>
  <c r="I19" i="5"/>
  <c r="H19" i="5"/>
  <c r="G19" i="5"/>
  <c r="F19" i="5"/>
  <c r="E19" i="5"/>
  <c r="D19" i="5"/>
  <c r="C19" i="5"/>
  <c r="B19" i="5"/>
  <c r="AB18" i="5"/>
  <c r="AA18" i="5"/>
  <c r="Z18" i="5"/>
  <c r="Y18" i="5"/>
  <c r="X18" i="5"/>
  <c r="W18" i="5"/>
  <c r="V18" i="5"/>
  <c r="U18" i="5"/>
  <c r="T18" i="5"/>
  <c r="S18" i="5"/>
  <c r="R18" i="5"/>
  <c r="Q18" i="5"/>
  <c r="M18" i="5"/>
  <c r="L18" i="5"/>
  <c r="K18" i="5"/>
  <c r="J18" i="5"/>
  <c r="I18" i="5"/>
  <c r="H18" i="5"/>
  <c r="G18" i="5"/>
  <c r="F18" i="5"/>
  <c r="E18" i="5"/>
  <c r="D18" i="5"/>
  <c r="C18" i="5"/>
  <c r="B18" i="5"/>
  <c r="AB17" i="5"/>
  <c r="AA17" i="5"/>
  <c r="Z17" i="5"/>
  <c r="Y17" i="5"/>
  <c r="X17" i="5"/>
  <c r="W17" i="5"/>
  <c r="V17" i="5"/>
  <c r="U17" i="5"/>
  <c r="T17" i="5"/>
  <c r="S17" i="5"/>
  <c r="R17" i="5"/>
  <c r="Q17" i="5"/>
  <c r="M17" i="5"/>
  <c r="L17" i="5"/>
  <c r="K17" i="5"/>
  <c r="J17" i="5"/>
  <c r="I17" i="5"/>
  <c r="H17" i="5"/>
  <c r="G17" i="5"/>
  <c r="F17" i="5"/>
  <c r="E17" i="5"/>
  <c r="D17" i="5"/>
  <c r="C17" i="5"/>
  <c r="B17" i="5"/>
  <c r="AB16" i="5"/>
  <c r="AA16" i="5"/>
  <c r="Z16" i="5"/>
  <c r="Y16" i="5"/>
  <c r="X16" i="5"/>
  <c r="W16" i="5"/>
  <c r="V16" i="5"/>
  <c r="U16" i="5"/>
  <c r="T16" i="5"/>
  <c r="S16" i="5"/>
  <c r="R16" i="5"/>
  <c r="Q16" i="5"/>
  <c r="M16" i="5"/>
  <c r="L16" i="5"/>
  <c r="K16" i="5"/>
  <c r="J16" i="5"/>
  <c r="I16" i="5"/>
  <c r="H16" i="5"/>
  <c r="G16" i="5"/>
  <c r="F16" i="5"/>
  <c r="E16" i="5"/>
  <c r="D16" i="5"/>
  <c r="C16" i="5"/>
  <c r="B16" i="5"/>
  <c r="AA11" i="5"/>
  <c r="Y11" i="5"/>
  <c r="W11" i="5"/>
  <c r="U11" i="5"/>
  <c r="S11" i="5"/>
  <c r="Q11" i="5"/>
  <c r="AC11" i="5" s="1"/>
  <c r="L11" i="5"/>
  <c r="J11" i="5"/>
  <c r="H11" i="5"/>
  <c r="N11" i="5" s="1"/>
  <c r="F11" i="5"/>
  <c r="D11" i="5"/>
  <c r="B11" i="5"/>
  <c r="AB10" i="5"/>
  <c r="AA10" i="5"/>
  <c r="Z10" i="5"/>
  <c r="Y10" i="5"/>
  <c r="X10" i="5"/>
  <c r="W10" i="5"/>
  <c r="V10" i="5"/>
  <c r="U10" i="5"/>
  <c r="T10" i="5"/>
  <c r="S10" i="5"/>
  <c r="R10" i="5"/>
  <c r="Q10" i="5"/>
  <c r="M10" i="5"/>
  <c r="L10" i="5"/>
  <c r="K10" i="5"/>
  <c r="J10" i="5"/>
  <c r="I10" i="5"/>
  <c r="H10" i="5"/>
  <c r="G10" i="5"/>
  <c r="F10" i="5"/>
  <c r="E10" i="5"/>
  <c r="D10" i="5"/>
  <c r="C10" i="5"/>
  <c r="B10" i="5"/>
  <c r="AB9" i="5"/>
  <c r="AA9" i="5"/>
  <c r="Z9" i="5"/>
  <c r="Y9" i="5"/>
  <c r="X9" i="5"/>
  <c r="W9" i="5"/>
  <c r="V9" i="5"/>
  <c r="U9" i="5"/>
  <c r="T9" i="5"/>
  <c r="S9" i="5"/>
  <c r="R9" i="5"/>
  <c r="Q9" i="5"/>
  <c r="M9" i="5"/>
  <c r="L9" i="5"/>
  <c r="K9" i="5"/>
  <c r="J9" i="5"/>
  <c r="I9" i="5"/>
  <c r="H9" i="5"/>
  <c r="G9" i="5"/>
  <c r="F9" i="5"/>
  <c r="E9" i="5"/>
  <c r="D9" i="5"/>
  <c r="C9" i="5"/>
  <c r="B9" i="5"/>
  <c r="AB8" i="5"/>
  <c r="AA8" i="5"/>
  <c r="Z8" i="5"/>
  <c r="Y8" i="5"/>
  <c r="X8" i="5"/>
  <c r="W8" i="5"/>
  <c r="V8" i="5"/>
  <c r="U8" i="5"/>
  <c r="T8" i="5"/>
  <c r="S8" i="5"/>
  <c r="R8" i="5"/>
  <c r="Q8" i="5"/>
  <c r="M8" i="5"/>
  <c r="L8" i="5"/>
  <c r="K8" i="5"/>
  <c r="J8" i="5"/>
  <c r="I8" i="5"/>
  <c r="H8" i="5"/>
  <c r="G8" i="5"/>
  <c r="F8" i="5"/>
  <c r="E8" i="5"/>
  <c r="D8" i="5"/>
  <c r="C8" i="5"/>
  <c r="B8" i="5"/>
  <c r="AB7" i="5"/>
  <c r="AA7" i="5"/>
  <c r="Z7" i="5"/>
  <c r="Y7" i="5"/>
  <c r="X7" i="5"/>
  <c r="W7" i="5"/>
  <c r="V7" i="5"/>
  <c r="U7" i="5"/>
  <c r="T7" i="5"/>
  <c r="S7" i="5"/>
  <c r="R7" i="5"/>
  <c r="Q7" i="5"/>
  <c r="M7" i="5"/>
  <c r="L7" i="5"/>
  <c r="K7" i="5"/>
  <c r="J7" i="5"/>
  <c r="I7" i="5"/>
  <c r="H7" i="5"/>
  <c r="G7" i="5"/>
  <c r="F7" i="5"/>
  <c r="E7" i="5"/>
  <c r="D7" i="5"/>
  <c r="C7" i="5"/>
  <c r="B7" i="5"/>
  <c r="AB6" i="5"/>
  <c r="AA6" i="5"/>
  <c r="Z6" i="5"/>
  <c r="Y6" i="5"/>
  <c r="X6" i="5"/>
  <c r="W6" i="5"/>
  <c r="V6" i="5"/>
  <c r="U6" i="5"/>
  <c r="T6" i="5"/>
  <c r="S6" i="5"/>
  <c r="R6" i="5"/>
  <c r="Q6" i="5"/>
  <c r="M6" i="5"/>
  <c r="L6" i="5"/>
  <c r="K6" i="5"/>
  <c r="J6" i="5"/>
  <c r="I6" i="5"/>
  <c r="H6" i="5"/>
  <c r="G6" i="5"/>
  <c r="F6" i="5"/>
  <c r="E6" i="5"/>
  <c r="D6" i="5"/>
  <c r="C6" i="5"/>
  <c r="B6" i="5"/>
  <c r="AB5" i="5"/>
  <c r="AA5" i="5"/>
  <c r="Z5" i="5"/>
  <c r="Y5" i="5"/>
  <c r="X5" i="5"/>
  <c r="W5" i="5"/>
  <c r="V5" i="5"/>
  <c r="U5" i="5"/>
  <c r="T5" i="5"/>
  <c r="S5" i="5"/>
  <c r="R5" i="5"/>
  <c r="Q5" i="5"/>
  <c r="M5" i="5"/>
  <c r="L5" i="5"/>
  <c r="K5" i="5"/>
  <c r="J5" i="5"/>
  <c r="I5" i="5"/>
  <c r="H5" i="5"/>
  <c r="G5" i="5"/>
  <c r="F5" i="5"/>
  <c r="E5" i="5"/>
  <c r="D5" i="5"/>
  <c r="C5" i="5"/>
  <c r="B5" i="5"/>
  <c r="AB4" i="5"/>
  <c r="AA4" i="5"/>
  <c r="Z4" i="5"/>
  <c r="Y4" i="5"/>
  <c r="X4" i="5"/>
  <c r="W4" i="5"/>
  <c r="V4" i="5"/>
  <c r="U4" i="5"/>
  <c r="T4" i="5"/>
  <c r="S4" i="5"/>
  <c r="R4" i="5"/>
  <c r="Q4" i="5"/>
  <c r="M4" i="5"/>
  <c r="L4" i="5"/>
  <c r="K4" i="5"/>
  <c r="J4" i="5"/>
  <c r="I4" i="5"/>
  <c r="H4" i="5"/>
  <c r="G4" i="5"/>
  <c r="F4" i="5"/>
  <c r="E4" i="5"/>
  <c r="D4" i="5"/>
  <c r="C4" i="5"/>
  <c r="B4" i="5"/>
  <c r="AB3" i="5"/>
  <c r="AA3" i="5"/>
  <c r="Z3" i="5"/>
  <c r="Y3" i="5"/>
  <c r="X3" i="5"/>
  <c r="W3" i="5"/>
  <c r="V3" i="5"/>
  <c r="U3" i="5"/>
  <c r="T3" i="5"/>
  <c r="S3" i="5"/>
  <c r="R3" i="5"/>
  <c r="Q3" i="5"/>
  <c r="M3" i="5"/>
  <c r="L3" i="5"/>
  <c r="K3" i="5"/>
  <c r="J3" i="5"/>
  <c r="I3" i="5"/>
  <c r="H3" i="5"/>
  <c r="G3" i="5"/>
  <c r="F3" i="5"/>
  <c r="E3" i="5"/>
  <c r="D3" i="5"/>
  <c r="C3" i="5"/>
  <c r="B3" i="5"/>
  <c r="AB2" i="5"/>
  <c r="AA2" i="5"/>
  <c r="Z2" i="5"/>
  <c r="Y2" i="5"/>
  <c r="X2" i="5"/>
  <c r="W2" i="5"/>
  <c r="V2" i="5"/>
  <c r="U2" i="5"/>
  <c r="T2" i="5"/>
  <c r="S2" i="5"/>
  <c r="R2" i="5"/>
  <c r="Q2" i="5"/>
  <c r="M2" i="5"/>
  <c r="L2" i="5"/>
  <c r="K2" i="5"/>
  <c r="J2" i="5"/>
  <c r="I2" i="5"/>
  <c r="H2" i="5"/>
  <c r="G2" i="5"/>
  <c r="F2" i="5"/>
  <c r="E2" i="5"/>
  <c r="D2" i="5"/>
  <c r="C2" i="5"/>
  <c r="B2" i="5"/>
  <c r="H26" i="4"/>
  <c r="D26" i="4"/>
  <c r="L25" i="4"/>
  <c r="J25" i="4"/>
  <c r="L26" i="4" s="1"/>
  <c r="H25" i="4"/>
  <c r="F25" i="4"/>
  <c r="D25" i="4"/>
  <c r="B25" i="4"/>
</calcChain>
</file>

<file path=xl/sharedStrings.xml><?xml version="1.0" encoding="utf-8"?>
<sst xmlns="http://schemas.openxmlformats.org/spreadsheetml/2006/main" count="192" uniqueCount="32">
  <si>
    <t>date</t>
  </si>
  <si>
    <t>Yb/Sr_ErYb_mean</t>
  </si>
  <si>
    <t>Yb/Sr_ErYb_err</t>
  </si>
  <si>
    <t>Yb/Sr_TiSa_mean</t>
  </si>
  <si>
    <t>Yb/Sr_TiSa_err</t>
  </si>
  <si>
    <t>Al/Yb_ErYb_mean</t>
  </si>
  <si>
    <t>Al/Yb_ErYb_err</t>
  </si>
  <si>
    <t>Al/Yb_TiSa_mean</t>
  </si>
  <si>
    <t>Al/Yb_TiSa_err</t>
  </si>
  <si>
    <t>Al/Sr_ErYb_mean</t>
  </si>
  <si>
    <t>Al/Sr_ErYb_err</t>
  </si>
  <si>
    <t>Al/Sr_TiSa_mean</t>
  </si>
  <si>
    <t>Al/Sr_TiSa_err</t>
  </si>
  <si>
    <t>Interpolate nu</t>
  </si>
  <si>
    <t>ST - KK</t>
  </si>
  <si>
    <t>ST - NN</t>
  </si>
  <si>
    <t>ST - JS YbReRunShifts</t>
  </si>
  <si>
    <t xml:space="preserve">ST - MCM </t>
  </si>
  <si>
    <t>Yb/Sr_ErYb</t>
  </si>
  <si>
    <t>Al/Yb_ErYb</t>
  </si>
  <si>
    <t>Al/Sr_ErYb</t>
  </si>
  <si>
    <t>Keep missing nu</t>
  </si>
  <si>
    <t>MCM-KK</t>
  </si>
  <si>
    <t>MCM-NN</t>
  </si>
  <si>
    <t>avg(abs(diff in w. means))</t>
  </si>
  <si>
    <t>Diff in weighted means</t>
  </si>
  <si>
    <t>KK - NN</t>
  </si>
  <si>
    <t>MCM-JS</t>
  </si>
  <si>
    <t>wm diff</t>
  </si>
  <si>
    <t>KK-JS</t>
  </si>
  <si>
    <t>NN-JS</t>
  </si>
  <si>
    <t>Yb/Sr_comb_combined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</si>
</sst>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/dd/yyyy"/>
    <numFmt numFmtId="165" formatCode="#,##0.000000000"/>
    <numFmt numFmtId="166" formatCode="#,##0.000000"/>
    <numFmt numFmtId="167" formatCode="#,##0.0000000000"/>
    <numFmt numFmtId="168" formatCode="#,##0.0000000"/>
    <numFmt numFmtId="169" formatCode="#,##0.00000000"/>
    <numFmt numFmtId="170" formatCode="0.000000E+00"/>
    <numFmt numFmtId="171" formatCode="0.00000E+00"/>
  </numFmts>
  <fonts count="9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&quot;Aptos Narrow&quot;"/>
      <family val="2"/>
    </font>
    <font>
      <sz val="11"/>
      <color rgb="FF000000"/>
      <name val="Arial"/>
      <family val="2"/>
    </font>
    <font>
      <sz val="11"/>
      <color rgb="FF000000"/>
      <name val="-apple-system"/>
      <family val="2"/>
    </font>
    <font>
      <sz val="10"/>
      <color rgb="FF000000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BD9D7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4">
    <xf numFmtId="0" fontId="0" fillId="0" borderId="0" xfId="0"/>
    <xf numFmtId="16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/>
    <xf numFmtId="165" fontId="1" fillId="2" borderId="2" xfId="0" applyNumberFormat="1" applyFont="1" applyFill="1" applyBorder="1" applyAlignment="1">
      <alignment horizontal="left" wrapText="1"/>
    </xf>
    <xf numFmtId="165" fontId="2" fillId="2" borderId="2" xfId="0" applyNumberFormat="1" applyFont="1" applyFill="1" applyBorder="1" applyAlignment="1">
      <alignment horizontal="left" wrapText="1"/>
    </xf>
    <xf numFmtId="164" fontId="0" fillId="0" borderId="0" xfId="0" applyNumberFormat="1"/>
    <xf numFmtId="165" fontId="0" fillId="0" borderId="0" xfId="0" applyNumberFormat="1"/>
    <xf numFmtId="14" fontId="3" fillId="0" borderId="1" xfId="0" applyNumberFormat="1" applyFont="1" applyBorder="1" applyAlignment="1">
      <alignment horizontal="left"/>
    </xf>
    <xf numFmtId="167" fontId="3" fillId="0" borderId="3" xfId="0" applyNumberFormat="1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67" fontId="0" fillId="0" borderId="0" xfId="0" applyNumberFormat="1" applyAlignment="1">
      <alignment horizontal="right"/>
    </xf>
    <xf numFmtId="14" fontId="0" fillId="0" borderId="0" xfId="0" applyNumberFormat="1"/>
    <xf numFmtId="167" fontId="1" fillId="0" borderId="3" xfId="0" applyNumberFormat="1" applyFont="1" applyBorder="1" applyAlignment="1">
      <alignment horizontal="left"/>
    </xf>
    <xf numFmtId="167" fontId="1" fillId="0" borderId="1" xfId="0" applyNumberFormat="1" applyFont="1" applyBorder="1" applyAlignment="1">
      <alignment horizontal="left"/>
    </xf>
    <xf numFmtId="14" fontId="1" fillId="3" borderId="4" xfId="0" applyNumberFormat="1" applyFont="1" applyFill="1" applyBorder="1" applyAlignment="1">
      <alignment horizontal="left"/>
    </xf>
    <xf numFmtId="167" fontId="4" fillId="0" borderId="5" xfId="0" applyNumberFormat="1" applyFont="1" applyBorder="1" applyAlignment="1">
      <alignment horizontal="right"/>
    </xf>
    <xf numFmtId="167" fontId="4" fillId="0" borderId="6" xfId="0" applyNumberFormat="1" applyFont="1" applyBorder="1" applyAlignment="1">
      <alignment horizontal="right"/>
    </xf>
    <xf numFmtId="14" fontId="1" fillId="3" borderId="2" xfId="0" applyNumberFormat="1" applyFont="1" applyFill="1" applyBorder="1" applyAlignment="1">
      <alignment horizontal="left"/>
    </xf>
    <xf numFmtId="167" fontId="4" fillId="4" borderId="7" xfId="0" applyNumberFormat="1" applyFont="1" applyFill="1" applyBorder="1" applyAlignment="1">
      <alignment horizontal="right"/>
    </xf>
    <xf numFmtId="167" fontId="4" fillId="4" borderId="4" xfId="0" applyNumberFormat="1" applyFont="1" applyFill="1" applyBorder="1" applyAlignment="1">
      <alignment horizontal="right"/>
    </xf>
    <xf numFmtId="167" fontId="4" fillId="0" borderId="3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67" fontId="4" fillId="4" borderId="8" xfId="0" applyNumberFormat="1" applyFont="1" applyFill="1" applyBorder="1" applyAlignment="1">
      <alignment horizontal="right"/>
    </xf>
    <xf numFmtId="167" fontId="4" fillId="4" borderId="2" xfId="0" applyNumberFormat="1" applyFont="1" applyFill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168" fontId="1" fillId="3" borderId="2" xfId="0" applyNumberFormat="1" applyFont="1" applyFill="1" applyBorder="1" applyAlignment="1">
      <alignment horizontal="left"/>
    </xf>
    <xf numFmtId="168" fontId="1" fillId="0" borderId="1" xfId="0" applyNumberFormat="1" applyFont="1" applyBorder="1" applyAlignment="1">
      <alignment horizontal="left"/>
    </xf>
    <xf numFmtId="166" fontId="3" fillId="4" borderId="2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1" fillId="3" borderId="2" xfId="0" applyNumberFormat="1" applyFont="1" applyFill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4" fontId="1" fillId="0" borderId="1" xfId="0" applyNumberFormat="1" applyFont="1" applyBorder="1" applyAlignment="1">
      <alignment horizontal="right" wrapText="1"/>
    </xf>
    <xf numFmtId="168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left"/>
    </xf>
    <xf numFmtId="168" fontId="5" fillId="0" borderId="1" xfId="0" applyNumberFormat="1" applyFont="1" applyBorder="1" applyAlignment="1">
      <alignment horizontal="left"/>
    </xf>
    <xf numFmtId="166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4" fontId="1" fillId="3" borderId="2" xfId="0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5" fontId="7" fillId="0" borderId="1" xfId="0" applyNumberFormat="1" applyFont="1" applyBorder="1" applyAlignment="1">
      <alignment horizontal="right" wrapText="1"/>
    </xf>
    <xf numFmtId="168" fontId="0" fillId="0" borderId="0" xfId="0" applyNumberFormat="1"/>
    <xf numFmtId="169" fontId="8" fillId="2" borderId="2" xfId="0" applyNumberFormat="1" applyFont="1" applyFill="1" applyBorder="1" applyAlignment="1">
      <alignment horizontal="left" wrapText="1"/>
    </xf>
    <xf numFmtId="169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8" fontId="1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left"/>
    </xf>
    <xf numFmtId="0" fontId="0" fillId="0" borderId="0" xfId="0"/>
    <xf numFmtId="0" fontId="0" fillId="0" borderId="0" xfId="0" applyAlignment="1">
      <alignment horizontal="right"/>
    </xf>
    <xf numFmtId="166" fontId="5" fillId="0" borderId="1" xfId="0" applyNumberFormat="1" applyFont="1" applyBorder="1" applyAlignment="1">
      <alignment horizontal="left"/>
    </xf>
    <xf numFmtId="170" fontId="4" fillId="0" borderId="5" xfId="0" applyNumberFormat="1" applyFont="1" applyBorder="1" applyAlignment="1">
      <alignment horizontal="right"/>
    </xf>
    <xf numFmtId="170" fontId="4" fillId="0" borderId="6" xfId="0" applyNumberFormat="1" applyFont="1" applyBorder="1" applyAlignment="1">
      <alignment horizontal="right"/>
    </xf>
    <xf numFmtId="170" fontId="4" fillId="4" borderId="7" xfId="0" applyNumberFormat="1" applyFont="1" applyFill="1" applyBorder="1" applyAlignment="1">
      <alignment horizontal="right"/>
    </xf>
    <xf numFmtId="170" fontId="4" fillId="4" borderId="4" xfId="0" applyNumberFormat="1" applyFont="1" applyFill="1" applyBorder="1" applyAlignment="1">
      <alignment horizontal="right"/>
    </xf>
    <xf numFmtId="170" fontId="4" fillId="0" borderId="3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70" fontId="4" fillId="4" borderId="8" xfId="0" applyNumberFormat="1" applyFont="1" applyFill="1" applyBorder="1" applyAlignment="1">
      <alignment horizontal="right"/>
    </xf>
    <xf numFmtId="170" fontId="4" fillId="4" borderId="2" xfId="0" applyNumberFormat="1" applyFont="1" applyFill="1" applyBorder="1" applyAlignment="1">
      <alignment horizontal="right"/>
    </xf>
    <xf numFmtId="171" fontId="1" fillId="0" borderId="1" xfId="0" applyNumberFormat="1" applyFont="1" applyBorder="1" applyAlignment="1">
      <alignment horizontal="right"/>
    </xf>
    <xf numFmtId="171" fontId="1" fillId="3" borderId="2" xfId="0" applyNumberFormat="1" applyFont="1" applyFill="1" applyBorder="1" applyAlignment="1">
      <alignment horizontal="right"/>
    </xf>
    <xf numFmtId="171" fontId="1" fillId="0" borderId="1" xfId="0" applyNumberFormat="1" applyFont="1" applyBorder="1" applyAlignment="1">
      <alignment horizontal="center"/>
    </xf>
    <xf numFmtId="171" fontId="1" fillId="2" borderId="2" xfId="0" applyNumberFormat="1" applyFont="1" applyFill="1" applyBorder="1" applyAlignment="1">
      <alignment horizontal="center" wrapText="1"/>
    </xf>
    <xf numFmtId="171" fontId="1" fillId="3" borderId="2" xfId="0" applyNumberFormat="1" applyFont="1" applyFill="1" applyBorder="1" applyAlignment="1">
      <alignment horizontal="left" wrapText="1"/>
    </xf>
    <xf numFmtId="171" fontId="1" fillId="2" borderId="2" xfId="0" applyNumberFormat="1" applyFont="1" applyFill="1" applyBorder="1" applyAlignment="1">
      <alignment horizontal="left" wrapText="1"/>
    </xf>
    <xf numFmtId="171" fontId="1" fillId="0" borderId="1" xfId="0" applyNumberFormat="1" applyFont="1" applyBorder="1" applyAlignment="1">
      <alignment horizontal="left" wrapText="1"/>
    </xf>
    <xf numFmtId="171" fontId="0" fillId="0" borderId="0" xfId="0" applyNumberFormat="1"/>
    <xf numFmtId="170" fontId="1" fillId="3" borderId="2" xfId="0" applyNumberFormat="1" applyFont="1" applyFill="1" applyBorder="1" applyAlignment="1">
      <alignment horizontal="right"/>
    </xf>
    <xf numFmtId="170" fontId="1" fillId="0" borderId="1" xfId="0" applyNumberFormat="1" applyFont="1" applyBorder="1" applyAlignment="1">
      <alignment horizontal="right"/>
    </xf>
    <xf numFmtId="170" fontId="5" fillId="0" borderId="1" xfId="0" applyNumberFormat="1" applyFont="1" applyBorder="1" applyAlignment="1">
      <alignment horizontal="right"/>
    </xf>
    <xf numFmtId="14" fontId="1" fillId="5" borderId="2" xfId="0" applyNumberFormat="1" applyFont="1" applyFill="1" applyBorder="1" applyAlignment="1">
      <alignment horizontal="left"/>
    </xf>
    <xf numFmtId="170" fontId="4" fillId="5" borderId="7" xfId="0" applyNumberFormat="1" applyFont="1" applyFill="1" applyBorder="1" applyAlignment="1">
      <alignment horizontal="right"/>
    </xf>
    <xf numFmtId="170" fontId="4" fillId="5" borderId="4" xfId="0" applyNumberFormat="1" applyFont="1" applyFill="1" applyBorder="1" applyAlignment="1">
      <alignment horizontal="right"/>
    </xf>
    <xf numFmtId="170" fontId="4" fillId="5" borderId="8" xfId="0" applyNumberFormat="1" applyFont="1" applyFill="1" applyBorder="1" applyAlignment="1">
      <alignment horizontal="right"/>
    </xf>
    <xf numFmtId="170" fontId="4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6"/>
  <sheetViews>
    <sheetView workbookViewId="0">
      <pane xSplit="1" topLeftCell="B1" activePane="topRight" state="frozen"/>
      <selection pane="topRight" activeCell="B2" sqref="B2:M24"/>
    </sheetView>
  </sheetViews>
  <sheetFormatPr baseColWidth="10" defaultColWidth="8.83203125" defaultRowHeight="15"/>
  <cols>
    <col min="1" max="1" width="13" style="16" bestFit="1" customWidth="1"/>
    <col min="2" max="2" width="15.1640625" style="51" bestFit="1" customWidth="1"/>
    <col min="3" max="3" width="16.6640625" style="51" bestFit="1" customWidth="1"/>
    <col min="4" max="4" width="16.1640625" style="51" bestFit="1" customWidth="1"/>
    <col min="5" max="5" width="14.33203125" style="51" bestFit="1" customWidth="1"/>
    <col min="6" max="6" width="16.6640625" style="51" bestFit="1" customWidth="1"/>
    <col min="7" max="13" width="13" style="51" bestFit="1" customWidth="1"/>
    <col min="14" max="14" width="13" bestFit="1" customWidth="1"/>
  </cols>
  <sheetData>
    <row r="1" spans="1:14" ht="15.75" customHeight="1">
      <c r="A1" s="4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54" t="s">
        <v>31</v>
      </c>
    </row>
    <row r="2" spans="1:14" ht="15.75" customHeight="1">
      <c r="A2" s="4">
        <v>45406</v>
      </c>
      <c r="B2" s="68">
        <v>-1.072E-16</v>
      </c>
      <c r="C2" s="68">
        <v>7.5000000000000002E-18</v>
      </c>
      <c r="D2" s="68"/>
      <c r="E2" s="68"/>
      <c r="F2" s="68">
        <v>-2.6469999999999999E-17</v>
      </c>
      <c r="G2" s="68">
        <v>1.7999999999999999E-16</v>
      </c>
      <c r="H2" s="68"/>
      <c r="I2" s="68"/>
      <c r="J2" s="68">
        <v>-1.164E-16</v>
      </c>
      <c r="K2" s="68">
        <v>2E-16</v>
      </c>
      <c r="L2" s="68"/>
      <c r="M2" s="68"/>
    </row>
    <row r="3" spans="1:14" ht="15.75" customHeight="1">
      <c r="A3" s="4">
        <v>45408</v>
      </c>
      <c r="B3" s="68">
        <v>-1.089E-16</v>
      </c>
      <c r="C3" s="68">
        <v>8.9999999999999999E-18</v>
      </c>
      <c r="D3" s="68">
        <v>-1.076E-16</v>
      </c>
      <c r="E3" s="68">
        <v>1.0000000000000001E-17</v>
      </c>
      <c r="F3" s="68">
        <v>2.2920000000000001E-17</v>
      </c>
      <c r="G3" s="68">
        <v>4.9999999999999999E-17</v>
      </c>
      <c r="H3" s="68"/>
      <c r="I3" s="68"/>
      <c r="J3" s="68">
        <v>-8.7690000000000001E-17</v>
      </c>
      <c r="K3" s="68">
        <v>4.9999999999999999E-17</v>
      </c>
      <c r="L3" s="68"/>
      <c r="M3" s="68"/>
    </row>
    <row r="4" spans="1:14" ht="15.75" customHeight="1">
      <c r="A4" s="4">
        <v>45456</v>
      </c>
      <c r="B4" s="68">
        <v>-1.167E-16</v>
      </c>
      <c r="C4" s="68">
        <v>4.0000000000000003E-18</v>
      </c>
      <c r="D4" s="68">
        <v>-1.179E-16</v>
      </c>
      <c r="E4" s="68">
        <v>4.0000000000000003E-18</v>
      </c>
      <c r="F4" s="68"/>
      <c r="G4" s="68"/>
      <c r="H4" s="68"/>
      <c r="I4" s="68"/>
      <c r="J4" s="68"/>
      <c r="K4" s="68"/>
      <c r="L4" s="68"/>
      <c r="M4" s="68"/>
    </row>
    <row r="5" spans="1:14" ht="15.75" customHeight="1">
      <c r="A5" s="4">
        <v>45489</v>
      </c>
      <c r="B5" s="68">
        <v>-1.2639999999999999E-16</v>
      </c>
      <c r="C5" s="68">
        <v>4.0000000000000003E-18</v>
      </c>
      <c r="D5" s="68">
        <v>-1.2669999999999999E-16</v>
      </c>
      <c r="E5" s="68">
        <v>4.0000000000000003E-18</v>
      </c>
      <c r="F5" s="68"/>
      <c r="G5" s="68"/>
      <c r="H5" s="68"/>
      <c r="I5" s="68"/>
      <c r="J5" s="68"/>
      <c r="K5" s="68"/>
      <c r="L5" s="68"/>
      <c r="M5" s="68"/>
    </row>
    <row r="6" spans="1:14" ht="15.75" customHeight="1">
      <c r="A6" s="4">
        <v>45490</v>
      </c>
      <c r="B6" s="68">
        <v>-1.257E-16</v>
      </c>
      <c r="C6" s="68">
        <v>2.9999999999999998E-18</v>
      </c>
      <c r="D6" s="68">
        <v>-1.2560000000000001E-16</v>
      </c>
      <c r="E6" s="68">
        <v>2.9999999999999998E-18</v>
      </c>
      <c r="F6" s="68"/>
      <c r="G6" s="68"/>
      <c r="H6" s="68"/>
      <c r="I6" s="68"/>
      <c r="J6" s="68"/>
      <c r="K6" s="68"/>
      <c r="L6" s="68"/>
      <c r="M6" s="68"/>
    </row>
    <row r="7" spans="1:14" ht="15.75" customHeight="1">
      <c r="A7" s="4">
        <v>45517</v>
      </c>
      <c r="B7" s="68">
        <v>-1.085E-16</v>
      </c>
      <c r="C7" s="68">
        <v>2.9999999999999998E-18</v>
      </c>
      <c r="D7" s="68">
        <v>-1.1E-16</v>
      </c>
      <c r="E7" s="68">
        <v>2.9999999999999998E-18</v>
      </c>
      <c r="F7" s="68">
        <v>-1.92E-17</v>
      </c>
      <c r="G7" s="68">
        <v>6.9999999999999997E-18</v>
      </c>
      <c r="H7" s="68">
        <v>6.6999999999999998E-18</v>
      </c>
      <c r="I7" s="68">
        <v>6.6999999999999998E-18</v>
      </c>
      <c r="J7" s="68">
        <v>-1.2860000000000001E-16</v>
      </c>
      <c r="K7" s="68">
        <v>8.0000000000000006E-18</v>
      </c>
      <c r="L7" s="68">
        <v>-1.2770000000000001E-16</v>
      </c>
      <c r="M7" s="68">
        <v>7.7499999999999996E-18</v>
      </c>
    </row>
    <row r="8" spans="1:14" ht="15.75" customHeight="1">
      <c r="A8" s="4">
        <v>45616</v>
      </c>
      <c r="B8" s="68">
        <v>-9.9119999999999996E-17</v>
      </c>
      <c r="C8" s="68">
        <v>7.7940000000000003E-18</v>
      </c>
      <c r="D8" s="68">
        <v>-9.8290000000000003E-17</v>
      </c>
      <c r="E8" s="68">
        <v>7.9520000000000005E-18</v>
      </c>
      <c r="F8" s="68"/>
      <c r="G8" s="68"/>
      <c r="H8" s="68"/>
      <c r="I8" s="68"/>
      <c r="J8" s="68"/>
      <c r="K8" s="68"/>
      <c r="L8" s="68"/>
      <c r="M8" s="68"/>
    </row>
    <row r="9" spans="1:14" ht="15.75" customHeight="1">
      <c r="A9" s="4">
        <v>45616</v>
      </c>
      <c r="B9" s="68">
        <v>-9.3790000000000004E-17</v>
      </c>
      <c r="C9" s="68">
        <v>2.8240000000000001E-18</v>
      </c>
      <c r="D9" s="68">
        <v>-9.3009999999999994E-17</v>
      </c>
      <c r="E9" s="68">
        <v>2.8700000000000001E-18</v>
      </c>
      <c r="F9" s="68"/>
      <c r="G9" s="68"/>
      <c r="H9" s="68"/>
      <c r="I9" s="68"/>
      <c r="J9" s="68"/>
      <c r="K9" s="68"/>
      <c r="L9" s="68"/>
      <c r="M9" s="68"/>
    </row>
    <row r="10" spans="1:14" ht="15.75" customHeight="1">
      <c r="A10" s="4">
        <v>45639</v>
      </c>
      <c r="B10" s="68">
        <v>-1.1150000000000001E-16</v>
      </c>
      <c r="C10" s="68">
        <v>2.9999999999999998E-18</v>
      </c>
      <c r="D10" s="68">
        <v>-1.109E-16</v>
      </c>
      <c r="E10" s="68">
        <v>2.9999999999999998E-18</v>
      </c>
      <c r="F10" s="68"/>
      <c r="G10" s="68"/>
      <c r="H10" s="68"/>
      <c r="I10" s="68"/>
      <c r="J10" s="68"/>
      <c r="K10" s="68"/>
      <c r="L10" s="68"/>
      <c r="M10" s="68"/>
    </row>
    <row r="11" spans="1:14" ht="15.75" customHeight="1">
      <c r="A11" s="4">
        <v>45642</v>
      </c>
      <c r="B11" s="68">
        <v>-1.105E-16</v>
      </c>
      <c r="C11" s="68">
        <v>2.3000000000000001E-18</v>
      </c>
      <c r="D11" s="68">
        <v>-1.088E-16</v>
      </c>
      <c r="E11" s="68">
        <v>2.1999999999999998E-18</v>
      </c>
      <c r="F11" s="68"/>
      <c r="G11" s="68"/>
      <c r="H11" s="68"/>
      <c r="I11" s="68"/>
      <c r="J11" s="68"/>
      <c r="K11" s="68"/>
      <c r="L11" s="68"/>
      <c r="M11" s="68"/>
    </row>
    <row r="12" spans="1:14" ht="15.75" customHeight="1">
      <c r="A12" s="22">
        <v>45673</v>
      </c>
      <c r="B12" s="69">
        <v>-1.00496556262701E-16</v>
      </c>
      <c r="C12" s="68">
        <v>1.24770371456705E-18</v>
      </c>
      <c r="D12" s="68">
        <v>-9.9401080997289901E-17</v>
      </c>
      <c r="E12" s="68">
        <v>1.1418118331966599E-18</v>
      </c>
      <c r="F12" s="69">
        <v>-3.1519999999999999E-17</v>
      </c>
      <c r="G12" s="68">
        <v>5.6651495546659897E-18</v>
      </c>
      <c r="H12" s="68"/>
      <c r="I12" s="68"/>
      <c r="J12" s="69">
        <v>-1.3520000000000001E-16</v>
      </c>
      <c r="K12" s="68">
        <v>5.5631142211550303E-18</v>
      </c>
      <c r="L12" s="68"/>
      <c r="M12" s="68"/>
    </row>
    <row r="13" spans="1:14" ht="15.75" customHeight="1">
      <c r="A13" s="22">
        <v>45681</v>
      </c>
      <c r="B13" s="69">
        <v>-9.6939413874712806E-17</v>
      </c>
      <c r="C13" s="68">
        <v>1.37739207153539E-18</v>
      </c>
      <c r="D13" s="68">
        <v>-9.6587144729847302E-17</v>
      </c>
      <c r="E13" s="68">
        <v>1.7342851760000299E-18</v>
      </c>
      <c r="F13" s="69">
        <v>-8.6909999999999994E-18</v>
      </c>
      <c r="G13" s="68">
        <v>4.7930050093546998E-18</v>
      </c>
      <c r="H13" s="68">
        <v>-3.5109999999999999E-17</v>
      </c>
      <c r="I13" s="68">
        <v>7.9639767725642695E-18</v>
      </c>
      <c r="J13" s="69">
        <v>-1.1390000000000001E-16</v>
      </c>
      <c r="K13" s="68">
        <v>4.7930050093546998E-18</v>
      </c>
      <c r="L13" s="68">
        <v>-1.254E-16</v>
      </c>
      <c r="M13" s="68">
        <v>5.9901275073109E-18</v>
      </c>
    </row>
    <row r="14" spans="1:14" ht="15.75" customHeight="1">
      <c r="A14" s="22">
        <v>45692</v>
      </c>
      <c r="B14" s="69">
        <v>-1.04765900862837E-16</v>
      </c>
      <c r="C14" s="68">
        <v>1.01952115082755E-18</v>
      </c>
      <c r="D14" s="68">
        <v>-1.04243256322299E-16</v>
      </c>
      <c r="E14" s="68">
        <v>1.1846305564885E-18</v>
      </c>
      <c r="F14" s="69">
        <v>-1.6260000000000001E-17</v>
      </c>
      <c r="G14" s="68">
        <v>3.0030573968524802E-18</v>
      </c>
      <c r="H14" s="68">
        <v>-1.691E-17</v>
      </c>
      <c r="I14" s="68">
        <v>3.0222034532439401E-18</v>
      </c>
      <c r="J14" s="69">
        <v>-1.2650000000000001E-16</v>
      </c>
      <c r="K14" s="68">
        <v>3.1515934588974402E-18</v>
      </c>
      <c r="L14" s="68">
        <v>-1.2639999999999999E-16</v>
      </c>
      <c r="M14" s="68">
        <v>3.1515934588974402E-18</v>
      </c>
    </row>
    <row r="15" spans="1:14" ht="15.75" customHeight="1">
      <c r="A15" s="4">
        <v>45694</v>
      </c>
      <c r="B15" s="68">
        <v>-1.03024085636416E-16</v>
      </c>
      <c r="C15" s="68">
        <v>1.2812243451770499E-18</v>
      </c>
      <c r="D15" s="68">
        <v>-1.02579378409148E-16</v>
      </c>
      <c r="E15" s="68">
        <v>1.33301762282903E-18</v>
      </c>
      <c r="F15" s="68">
        <v>-1.7479999999999999E-17</v>
      </c>
      <c r="G15" s="68">
        <v>3.4647778769722702E-18</v>
      </c>
      <c r="H15" s="68">
        <v>-1.699E-17</v>
      </c>
      <c r="I15" s="68">
        <v>3.4667539991383501E-18</v>
      </c>
      <c r="J15" s="68">
        <v>-1.2800000000000001E-16</v>
      </c>
      <c r="K15" s="68">
        <v>2.7181970165016099E-18</v>
      </c>
      <c r="L15" s="68">
        <v>-1.2740000000000001E-16</v>
      </c>
      <c r="M15" s="68">
        <v>2.7944955734147099E-18</v>
      </c>
    </row>
    <row r="16" spans="1:14" ht="15.75" customHeight="1">
      <c r="A16" s="22">
        <v>45715</v>
      </c>
      <c r="B16" s="69">
        <v>-1.07138934034172E-16</v>
      </c>
      <c r="C16" s="68">
        <v>1.04883555038478E-18</v>
      </c>
      <c r="D16" s="68">
        <v>-1.07532480208575E-16</v>
      </c>
      <c r="E16" s="68">
        <v>1.1042559480144999E-18</v>
      </c>
      <c r="F16" s="69">
        <v>-1.6184407052069799E-17</v>
      </c>
      <c r="G16" s="68">
        <v>2.91935477422455E-18</v>
      </c>
      <c r="H16" s="68">
        <v>-1.65427758464438E-17</v>
      </c>
      <c r="I16" s="68">
        <v>3.2059892942381301E-18</v>
      </c>
      <c r="J16" s="69">
        <v>-1.2304992213771801E-16</v>
      </c>
      <c r="K16" s="68">
        <v>3.0639514117616902E-18</v>
      </c>
      <c r="L16" s="68">
        <v>-1.2398135243388899E-16</v>
      </c>
      <c r="M16" s="68">
        <v>3.35313498459344E-18</v>
      </c>
    </row>
    <row r="17" spans="1:13" ht="15.75" customHeight="1">
      <c r="A17" s="4">
        <v>45716</v>
      </c>
      <c r="B17" s="68">
        <v>-1.02571831636958E-16</v>
      </c>
      <c r="C17" s="68">
        <v>1.1149988580803399E-18</v>
      </c>
      <c r="D17" s="68">
        <v>-1.02231890855977E-16</v>
      </c>
      <c r="E17" s="68">
        <v>1.08867655199167E-18</v>
      </c>
      <c r="F17" s="68">
        <v>-1.0455232880916301E-17</v>
      </c>
      <c r="G17" s="68">
        <v>3.23182908498938E-18</v>
      </c>
      <c r="H17" s="68">
        <v>-1.09899838634412E-17</v>
      </c>
      <c r="I17" s="68">
        <v>3.24145276360795E-18</v>
      </c>
      <c r="J17" s="68">
        <v>-1.13922166990955E-16</v>
      </c>
      <c r="K17" s="68">
        <v>2.858883631825E-18</v>
      </c>
      <c r="L17" s="68">
        <v>-1.1357230990879601E-16</v>
      </c>
      <c r="M17" s="68">
        <v>2.8742788020081402E-18</v>
      </c>
    </row>
    <row r="18" spans="1:13" ht="15.75" customHeight="1">
      <c r="A18" s="22">
        <v>45720</v>
      </c>
      <c r="B18" s="69">
        <v>-1.03659799494386E-16</v>
      </c>
      <c r="C18" s="68">
        <v>1.0247416238740601E-18</v>
      </c>
      <c r="D18" s="68">
        <v>-1.03298143655123E-16</v>
      </c>
      <c r="E18" s="68">
        <v>1.0243737982132101E-18</v>
      </c>
      <c r="F18" s="69">
        <v>-1.51427503723784E-17</v>
      </c>
      <c r="G18" s="68">
        <v>3.7435964553662901E-18</v>
      </c>
      <c r="H18" s="68">
        <v>-1.5014852026237E-17</v>
      </c>
      <c r="I18" s="68">
        <v>3.76634505240762E-18</v>
      </c>
      <c r="J18" s="69">
        <v>-1.1891698580632699E-16</v>
      </c>
      <c r="K18" s="68">
        <v>3.79102009117503E-18</v>
      </c>
      <c r="L18" s="68">
        <v>-1.18581989620925E-16</v>
      </c>
      <c r="M18" s="68">
        <v>3.7966517964915198E-18</v>
      </c>
    </row>
    <row r="19" spans="1:13" ht="15.75" customHeight="1">
      <c r="A19" s="4">
        <v>45722</v>
      </c>
      <c r="B19" s="68">
        <v>-1.04318415806149E-16</v>
      </c>
      <c r="C19" s="68">
        <v>1.2315543669583901E-18</v>
      </c>
      <c r="D19" s="68">
        <v>-1.03451295299175E-16</v>
      </c>
      <c r="E19" s="68">
        <v>1.24848734659408E-18</v>
      </c>
      <c r="F19" s="68">
        <v>-1.5396099046153E-17</v>
      </c>
      <c r="G19" s="68">
        <v>3.7916191996103897E-18</v>
      </c>
      <c r="H19" s="68">
        <v>-1.5555518443005599E-17</v>
      </c>
      <c r="I19" s="68">
        <v>3.79240368814783E-18</v>
      </c>
      <c r="J19" s="68">
        <v>-1.20708599969957E-16</v>
      </c>
      <c r="K19" s="68">
        <v>4.1871640266665302E-18</v>
      </c>
      <c r="L19" s="68">
        <v>-1.2024796536719E-16</v>
      </c>
      <c r="M19" s="68">
        <v>4.1692706115294803E-18</v>
      </c>
    </row>
    <row r="20" spans="1:13" ht="15.75" customHeight="1">
      <c r="A20" s="22">
        <v>45723</v>
      </c>
      <c r="B20" s="69">
        <v>-1.02638404602943E-16</v>
      </c>
      <c r="C20" s="68">
        <v>1.44197324533539E-18</v>
      </c>
      <c r="D20" s="68">
        <v>-1.0199616317306E-16</v>
      </c>
      <c r="E20" s="68">
        <v>1.47328463170328E-18</v>
      </c>
      <c r="F20" s="69">
        <v>-2.4808254583529701E-17</v>
      </c>
      <c r="G20" s="68">
        <v>4.1794225324641701E-18</v>
      </c>
      <c r="H20" s="68">
        <v>-2.4816120623230999E-17</v>
      </c>
      <c r="I20" s="68">
        <v>4.1854348489186097E-18</v>
      </c>
      <c r="J20" s="69">
        <v>-1.26481889255345E-16</v>
      </c>
      <c r="K20" s="68">
        <v>2.9181295440122499E-18</v>
      </c>
      <c r="L20" s="68">
        <v>-1.25391435417152E-16</v>
      </c>
      <c r="M20" s="68">
        <v>2.8867079634734399E-18</v>
      </c>
    </row>
    <row r="21" spans="1:13" ht="15.75" customHeight="1">
      <c r="A21" s="4">
        <v>45729</v>
      </c>
      <c r="B21" s="68">
        <v>-1.06360568663107E-16</v>
      </c>
      <c r="C21" s="68">
        <v>1.1043005753936699E-18</v>
      </c>
      <c r="D21" s="68">
        <v>-1.06557459421649E-16</v>
      </c>
      <c r="E21" s="68">
        <v>1.1245546959824499E-18</v>
      </c>
      <c r="F21" s="68">
        <v>-1.45987004626524E-17</v>
      </c>
      <c r="G21" s="68">
        <v>3.7445245839089797E-18</v>
      </c>
      <c r="H21" s="68">
        <v>-1.4436537296452699E-17</v>
      </c>
      <c r="I21" s="68">
        <v>3.70866325746292E-18</v>
      </c>
      <c r="J21" s="68">
        <v>-1.2040125777556301E-16</v>
      </c>
      <c r="K21" s="68">
        <v>3.2257535130879499E-18</v>
      </c>
      <c r="L21" s="68">
        <v>-1.2014355858696601E-16</v>
      </c>
      <c r="M21" s="68">
        <v>3.2228834032598101E-18</v>
      </c>
    </row>
    <row r="22" spans="1:13" ht="15.75" customHeight="1">
      <c r="A22" s="22">
        <v>45734</v>
      </c>
      <c r="B22" s="69">
        <v>-1.04523211980555E-16</v>
      </c>
      <c r="C22" s="68">
        <v>1.2224333869333699E-18</v>
      </c>
      <c r="D22" s="68">
        <v>-1.03860030991447E-16</v>
      </c>
      <c r="E22" s="68">
        <v>1.27933668108761E-18</v>
      </c>
      <c r="F22" s="69">
        <v>-1.5312419064720401E-17</v>
      </c>
      <c r="G22" s="68">
        <v>5.5379657685865701E-18</v>
      </c>
      <c r="H22" s="68">
        <v>-1.5280214888729299E-17</v>
      </c>
      <c r="I22" s="68">
        <v>5.5825564520272902E-18</v>
      </c>
      <c r="J22" s="69">
        <v>-1.1811882515146499E-16</v>
      </c>
      <c r="K22" s="68">
        <v>7.1254863771288103E-18</v>
      </c>
      <c r="L22" s="68">
        <v>-1.1802541837442399E-16</v>
      </c>
      <c r="M22" s="68">
        <v>7.1877623926929507E-18</v>
      </c>
    </row>
    <row r="23" spans="1:13" ht="15.75" customHeight="1">
      <c r="A23" s="4">
        <v>45736</v>
      </c>
      <c r="B23" s="68">
        <v>-1.06756937067395E-16</v>
      </c>
      <c r="C23" s="68">
        <v>9.3143133014661905E-19</v>
      </c>
      <c r="D23" s="68">
        <v>-1.06408073820351E-16</v>
      </c>
      <c r="E23" s="68">
        <v>9.5788698952202909E-19</v>
      </c>
      <c r="F23" s="68">
        <v>-1.56580748866925E-17</v>
      </c>
      <c r="G23" s="68">
        <v>3.0420719976194801E-18</v>
      </c>
      <c r="H23" s="68">
        <v>-1.6900393563863599E-17</v>
      </c>
      <c r="I23" s="68">
        <v>3.0293541656583599E-18</v>
      </c>
      <c r="J23" s="68">
        <v>-1.2276979391792599E-16</v>
      </c>
      <c r="K23" s="68">
        <v>3.0205524960329599E-18</v>
      </c>
      <c r="L23" s="68">
        <v>-1.2337483849225199E-16</v>
      </c>
      <c r="M23" s="68">
        <v>3.07027769481018E-18</v>
      </c>
    </row>
    <row r="24" spans="1:13" ht="15.75" customHeight="1">
      <c r="A24" s="4">
        <v>45737</v>
      </c>
      <c r="B24" s="68">
        <v>-1.07880081447737E-16</v>
      </c>
      <c r="C24" s="68">
        <v>1.09794544060159E-18</v>
      </c>
      <c r="D24" s="68">
        <v>-1.07410092206669E-16</v>
      </c>
      <c r="E24" s="68">
        <v>1.2155385531684201E-18</v>
      </c>
      <c r="F24" s="68">
        <v>-1.02108551612626E-17</v>
      </c>
      <c r="G24" s="68">
        <v>3.7900407486608998E-18</v>
      </c>
      <c r="H24" s="68">
        <v>-9.4218974001680697E-18</v>
      </c>
      <c r="I24" s="68">
        <v>4.0319885193522302E-18</v>
      </c>
      <c r="J24" s="68">
        <v>-1.19742421636E-16</v>
      </c>
      <c r="K24" s="68">
        <v>3.5622022433703E-18</v>
      </c>
      <c r="L24" s="68">
        <v>-1.1911331319519999E-16</v>
      </c>
      <c r="M24" s="68">
        <v>3.9816755324277397E-18</v>
      </c>
    </row>
    <row r="25" spans="1:13" ht="15.75" customHeight="1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</row>
    <row r="26" spans="1:13" ht="15.75" customHeight="1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000"/>
  <sheetViews>
    <sheetView workbookViewId="0">
      <pane xSplit="1" topLeftCell="B1" activePane="topRight" state="frozen"/>
      <selection pane="topRight" activeCell="B2" sqref="B2:M24"/>
    </sheetView>
  </sheetViews>
  <sheetFormatPr baseColWidth="10" defaultColWidth="8.83203125" defaultRowHeight="15"/>
  <cols>
    <col min="1" max="1" width="13" style="16" bestFit="1" customWidth="1"/>
    <col min="2" max="13" width="13" style="51" bestFit="1" customWidth="1"/>
  </cols>
  <sheetData>
    <row r="1" spans="1:13" ht="15.75" customHeight="1">
      <c r="A1" s="4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</row>
    <row r="2" spans="1:13" ht="15.75" customHeight="1">
      <c r="A2" s="4">
        <v>45406</v>
      </c>
      <c r="B2" s="70">
        <v>-1.08807E-16</v>
      </c>
      <c r="C2" s="70">
        <v>6.3600000000000001E-18</v>
      </c>
      <c r="D2" s="70"/>
      <c r="E2" s="70"/>
      <c r="F2" s="71">
        <v>3.6375500000000002E-17</v>
      </c>
      <c r="G2" s="70">
        <v>5.2600000000000001E-17</v>
      </c>
      <c r="H2" s="70"/>
      <c r="I2" s="70"/>
      <c r="J2" s="71">
        <v>-6.1453199999999996E-17</v>
      </c>
      <c r="K2" s="70">
        <v>4.61E-17</v>
      </c>
      <c r="L2" s="71">
        <v>-6.7041500000000002E-17</v>
      </c>
      <c r="M2" s="70">
        <v>4.4699999999999998E-17</v>
      </c>
    </row>
    <row r="3" spans="1:13" ht="15.75" customHeight="1">
      <c r="A3" s="4">
        <v>45408</v>
      </c>
      <c r="B3" s="70">
        <v>-1.08919E-16</v>
      </c>
      <c r="C3" s="70">
        <v>8.0000000000000006E-18</v>
      </c>
      <c r="D3" s="70">
        <v>-1.08523E-16</v>
      </c>
      <c r="E3" s="70">
        <v>7.4499999999999996E-18</v>
      </c>
      <c r="F3" s="71">
        <v>2.1284699999999999E-17</v>
      </c>
      <c r="G3" s="70">
        <v>3.54E-17</v>
      </c>
      <c r="H3" s="70">
        <v>1.5378599999999999E-17</v>
      </c>
      <c r="I3" s="70">
        <v>3.5999999999999999E-17</v>
      </c>
      <c r="J3" s="70">
        <v>-8.9021199999999996E-17</v>
      </c>
      <c r="K3" s="70">
        <v>3.21E-17</v>
      </c>
      <c r="L3" s="70">
        <v>-9.4880200000000001E-17</v>
      </c>
      <c r="M3" s="70">
        <v>3.3200000000000002E-17</v>
      </c>
    </row>
    <row r="4" spans="1:13" ht="15.75" customHeight="1">
      <c r="A4" s="4">
        <v>45456</v>
      </c>
      <c r="B4" s="71">
        <v>-1.1684699999999999E-16</v>
      </c>
      <c r="C4" s="70">
        <v>3.1399999999999999E-18</v>
      </c>
      <c r="D4" s="70">
        <v>-1.19005E-16</v>
      </c>
      <c r="E4" s="70">
        <v>3.11E-18</v>
      </c>
      <c r="F4" s="70"/>
      <c r="G4" s="70"/>
      <c r="H4" s="70"/>
      <c r="I4" s="70"/>
      <c r="J4" s="70"/>
      <c r="K4" s="70"/>
      <c r="L4" s="70"/>
      <c r="M4" s="70"/>
    </row>
    <row r="5" spans="1:13" ht="15.75" customHeight="1">
      <c r="A5" s="4">
        <v>45489</v>
      </c>
      <c r="B5" s="70">
        <v>-1.27072E-16</v>
      </c>
      <c r="C5" s="70">
        <v>2.3600000000000002E-18</v>
      </c>
      <c r="D5" s="70">
        <v>-1.2690799999999999E-16</v>
      </c>
      <c r="E5" s="70">
        <v>2.3600000000000002E-18</v>
      </c>
      <c r="F5" s="70"/>
      <c r="G5" s="70"/>
      <c r="H5" s="70"/>
      <c r="I5" s="70"/>
      <c r="J5" s="70"/>
      <c r="K5" s="70"/>
      <c r="L5" s="70"/>
      <c r="M5" s="70"/>
    </row>
    <row r="6" spans="1:13" ht="15.75" customHeight="1">
      <c r="A6" s="4">
        <v>45490</v>
      </c>
      <c r="B6" s="70">
        <v>-1.2520800000000001E-16</v>
      </c>
      <c r="C6" s="70">
        <v>1.4700000000000001E-18</v>
      </c>
      <c r="D6" s="70">
        <v>-1.2507600000000001E-16</v>
      </c>
      <c r="E6" s="70">
        <v>1.4999999999999999E-18</v>
      </c>
      <c r="F6" s="70"/>
      <c r="G6" s="70"/>
      <c r="H6" s="70"/>
      <c r="I6" s="70"/>
      <c r="J6" s="70"/>
      <c r="K6" s="70"/>
      <c r="L6" s="70"/>
      <c r="M6" s="70"/>
    </row>
    <row r="7" spans="1:13" ht="15.75" customHeight="1">
      <c r="A7" s="4">
        <v>45517</v>
      </c>
      <c r="B7" s="70">
        <v>-1.09738E-16</v>
      </c>
      <c r="C7" s="70">
        <v>1.89E-18</v>
      </c>
      <c r="D7" s="70">
        <v>-1.0992499999999999E-16</v>
      </c>
      <c r="E7" s="70">
        <v>1.88E-18</v>
      </c>
      <c r="F7" s="70">
        <v>-1.83954E-17</v>
      </c>
      <c r="G7" s="70">
        <v>5.3300000000000001E-18</v>
      </c>
      <c r="H7" s="70">
        <v>-1.8961900000000001E-17</v>
      </c>
      <c r="I7" s="70">
        <v>5.3699999999999999E-18</v>
      </c>
      <c r="J7" s="70">
        <v>-1.2791100000000001E-16</v>
      </c>
      <c r="K7" s="70">
        <v>5.6799999999999998E-18</v>
      </c>
      <c r="L7" s="70">
        <v>-1.2835799999999999E-16</v>
      </c>
      <c r="M7" s="70">
        <v>5.7099999999999997E-18</v>
      </c>
    </row>
    <row r="8" spans="1:13" ht="15.75" customHeight="1">
      <c r="A8" s="4">
        <v>45616</v>
      </c>
      <c r="B8" s="70">
        <v>-9.9012200000000004E-17</v>
      </c>
      <c r="C8" s="70">
        <v>4.6899999999999997E-18</v>
      </c>
      <c r="D8" s="70">
        <v>-9.9001899999999997E-17</v>
      </c>
      <c r="E8" s="70">
        <v>4.7300000000000003E-18</v>
      </c>
      <c r="F8" s="70"/>
      <c r="G8" s="70"/>
      <c r="H8" s="70"/>
      <c r="I8" s="70"/>
      <c r="J8" s="70"/>
      <c r="K8" s="70"/>
      <c r="L8" s="70"/>
      <c r="M8" s="70"/>
    </row>
    <row r="9" spans="1:13" ht="15.75" customHeight="1">
      <c r="A9" s="4">
        <v>45616</v>
      </c>
      <c r="B9" s="70">
        <v>-9.3624299999999996E-17</v>
      </c>
      <c r="C9" s="70">
        <v>2.7900000000000002E-18</v>
      </c>
      <c r="D9" s="70">
        <v>-9.3760999999999999E-17</v>
      </c>
      <c r="E9" s="70">
        <v>2.82E-18</v>
      </c>
      <c r="F9" s="70"/>
      <c r="G9" s="70"/>
      <c r="H9" s="70"/>
      <c r="I9" s="70"/>
      <c r="J9" s="70"/>
      <c r="K9" s="70"/>
      <c r="L9" s="70"/>
      <c r="M9" s="70"/>
    </row>
    <row r="10" spans="1:13" ht="15.75" customHeight="1">
      <c r="A10" s="4">
        <v>45639</v>
      </c>
      <c r="B10" s="71">
        <v>-1.11198E-16</v>
      </c>
      <c r="C10" s="71">
        <v>2.17E-18</v>
      </c>
      <c r="D10" s="71">
        <v>-1.1123700000000001E-16</v>
      </c>
      <c r="E10" s="71">
        <v>2.1400000000000002E-18</v>
      </c>
      <c r="F10" s="70"/>
      <c r="G10" s="70"/>
      <c r="H10" s="70"/>
      <c r="I10" s="70"/>
      <c r="J10" s="70"/>
      <c r="K10" s="70"/>
      <c r="L10" s="70"/>
      <c r="M10" s="70"/>
    </row>
    <row r="11" spans="1:13" ht="15.75" customHeight="1">
      <c r="A11" s="4">
        <v>45642</v>
      </c>
      <c r="B11" s="71">
        <v>-1.10399E-16</v>
      </c>
      <c r="C11" s="71">
        <v>1.7499999999999999E-18</v>
      </c>
      <c r="D11" s="71">
        <v>-1.10367E-16</v>
      </c>
      <c r="E11" s="71">
        <v>1.73E-18</v>
      </c>
      <c r="F11" s="70"/>
      <c r="G11" s="70"/>
      <c r="H11" s="70"/>
      <c r="I11" s="70"/>
      <c r="J11" s="70"/>
      <c r="K11" s="70"/>
      <c r="L11" s="70"/>
      <c r="M11" s="70"/>
    </row>
    <row r="12" spans="1:13" ht="15.75" customHeight="1">
      <c r="A12" s="22">
        <v>45673</v>
      </c>
      <c r="B12" s="72">
        <v>-1.0043E-16</v>
      </c>
      <c r="C12" s="73">
        <v>1.2099999999999999E-18</v>
      </c>
      <c r="D12" s="73">
        <v>-1.0051000000000001E-16</v>
      </c>
      <c r="E12" s="73">
        <v>1.2E-18</v>
      </c>
      <c r="F12" s="72">
        <v>-3.4334000000000002E-17</v>
      </c>
      <c r="G12" s="73">
        <v>6.4600000000000003E-18</v>
      </c>
      <c r="H12" s="73"/>
      <c r="I12" s="73"/>
      <c r="J12" s="72">
        <v>-1.3498E-16</v>
      </c>
      <c r="K12" s="73">
        <v>5.8800000000000003E-18</v>
      </c>
      <c r="L12" s="73"/>
      <c r="M12" s="73"/>
    </row>
    <row r="13" spans="1:13" ht="15.75" customHeight="1">
      <c r="A13" s="22">
        <v>45681</v>
      </c>
      <c r="B13" s="72">
        <v>-9.6948000000000005E-17</v>
      </c>
      <c r="C13" s="73">
        <v>1.5800000000000001E-18</v>
      </c>
      <c r="D13" s="73">
        <v>-9.7543000000000006E-17</v>
      </c>
      <c r="E13" s="73">
        <v>1.8999999999999999E-18</v>
      </c>
      <c r="F13" s="72">
        <v>-1.2884E-17</v>
      </c>
      <c r="G13" s="73">
        <v>8.3400000000000003E-18</v>
      </c>
      <c r="H13" s="73">
        <v>-3.8628000000000001E-17</v>
      </c>
      <c r="I13" s="73">
        <v>1.1699999999999999E-17</v>
      </c>
      <c r="J13" s="72">
        <v>-1.1402E-16</v>
      </c>
      <c r="K13" s="73">
        <v>5.5E-18</v>
      </c>
      <c r="L13" s="73">
        <v>-1.2622000000000001E-16</v>
      </c>
      <c r="M13" s="73">
        <v>7.4499999999999996E-18</v>
      </c>
    </row>
    <row r="14" spans="1:13" ht="15.75" customHeight="1">
      <c r="A14" s="22">
        <v>45692</v>
      </c>
      <c r="B14" s="72">
        <v>-1.0455000000000001E-16</v>
      </c>
      <c r="C14" s="73">
        <v>1.0299999999999999E-18</v>
      </c>
      <c r="D14" s="73">
        <v>-1.0452999999999999E-16</v>
      </c>
      <c r="E14" s="73">
        <v>1.08E-18</v>
      </c>
      <c r="F14" s="72">
        <v>-2.2251E-17</v>
      </c>
      <c r="G14" s="73">
        <v>3.7799999999999999E-18</v>
      </c>
      <c r="H14" s="73">
        <v>-2.2841999999999999E-17</v>
      </c>
      <c r="I14" s="73">
        <v>3.6499999999999998E-18</v>
      </c>
      <c r="J14" s="72">
        <v>-1.2569E-16</v>
      </c>
      <c r="K14" s="73">
        <v>3.2899999999999998E-18</v>
      </c>
      <c r="L14" s="73">
        <v>-1.2640999999999999E-16</v>
      </c>
      <c r="M14" s="73">
        <v>3.9399999999999998E-18</v>
      </c>
    </row>
    <row r="15" spans="1:13" ht="15.75" customHeight="1">
      <c r="A15" s="4">
        <v>45694</v>
      </c>
      <c r="B15" s="73">
        <v>-1.0297E-16</v>
      </c>
      <c r="C15" s="73">
        <v>1.56E-18</v>
      </c>
      <c r="D15" s="73">
        <v>-1.0347999999999999E-16</v>
      </c>
      <c r="E15" s="73">
        <v>1.6099999999999999E-18</v>
      </c>
      <c r="F15" s="73">
        <v>-2.2105000000000001E-17</v>
      </c>
      <c r="G15" s="73">
        <v>3.62E-18</v>
      </c>
      <c r="H15" s="73">
        <v>-2.155E-17</v>
      </c>
      <c r="I15" s="73">
        <v>3.6100000000000001E-18</v>
      </c>
      <c r="J15" s="73">
        <v>-1.2805000000000001E-16</v>
      </c>
      <c r="K15" s="73">
        <v>2.83E-18</v>
      </c>
      <c r="L15" s="73">
        <v>-1.2809E-16</v>
      </c>
      <c r="M15" s="73">
        <v>2.8399999999999999E-18</v>
      </c>
    </row>
    <row r="16" spans="1:13" ht="15.75" customHeight="1">
      <c r="A16" s="22">
        <v>45715</v>
      </c>
      <c r="B16" s="72">
        <v>-1.0692999999999999E-16</v>
      </c>
      <c r="C16" s="73">
        <v>1.31E-18</v>
      </c>
      <c r="D16" s="73">
        <v>-1.0752999999999999E-16</v>
      </c>
      <c r="E16" s="73">
        <v>1.3E-18</v>
      </c>
      <c r="F16" s="72">
        <v>-1.6066999999999999E-17</v>
      </c>
      <c r="G16" s="73">
        <v>3.3700000000000002E-18</v>
      </c>
      <c r="H16" s="73">
        <v>-1.6345E-17</v>
      </c>
      <c r="I16" s="73">
        <v>3.48E-18</v>
      </c>
      <c r="J16" s="72">
        <v>-1.2271E-16</v>
      </c>
      <c r="K16" s="73">
        <v>3.48E-18</v>
      </c>
      <c r="L16" s="73">
        <v>-1.239E-16</v>
      </c>
      <c r="M16" s="73">
        <v>3.6100000000000001E-18</v>
      </c>
    </row>
    <row r="17" spans="1:13" ht="15.75" customHeight="1">
      <c r="A17" s="4">
        <v>45716</v>
      </c>
      <c r="B17" s="73">
        <v>-1.0246E-16</v>
      </c>
      <c r="C17" s="73">
        <v>1.15E-18</v>
      </c>
      <c r="D17" s="73">
        <v>-1.0272999999999999E-16</v>
      </c>
      <c r="E17" s="73">
        <v>1.12E-18</v>
      </c>
      <c r="F17" s="73">
        <v>-1.0398E-17</v>
      </c>
      <c r="G17" s="73">
        <v>3.7799999999999999E-18</v>
      </c>
      <c r="H17" s="73">
        <v>-1.0843E-17</v>
      </c>
      <c r="I17" s="73">
        <v>3.77E-18</v>
      </c>
      <c r="J17" s="73">
        <v>-1.1385999999999999E-16</v>
      </c>
      <c r="K17" s="73">
        <v>2.8800000000000001E-18</v>
      </c>
      <c r="L17" s="73">
        <v>-1.1438E-16</v>
      </c>
      <c r="M17" s="73">
        <v>2.89E-18</v>
      </c>
    </row>
    <row r="18" spans="1:13" ht="15.75" customHeight="1">
      <c r="A18" s="22">
        <v>45720</v>
      </c>
      <c r="B18" s="72">
        <v>-1.036E-16</v>
      </c>
      <c r="C18" s="73">
        <v>1.0700000000000001E-18</v>
      </c>
      <c r="D18" s="73">
        <v>-1.0357E-16</v>
      </c>
      <c r="E18" s="73">
        <v>1.0700000000000001E-18</v>
      </c>
      <c r="F18" s="72">
        <v>-1.5169999999999999E-17</v>
      </c>
      <c r="G18" s="73">
        <v>4.2499999999999997E-18</v>
      </c>
      <c r="H18" s="73">
        <v>-1.4958E-17</v>
      </c>
      <c r="I18" s="73">
        <v>4.2599999999999997E-18</v>
      </c>
      <c r="J18" s="72">
        <v>-1.1888E-16</v>
      </c>
      <c r="K18" s="73">
        <v>4.2299999999999998E-18</v>
      </c>
      <c r="L18" s="73">
        <v>-1.1866999999999999E-16</v>
      </c>
      <c r="M18" s="73">
        <v>4.2499999999999997E-18</v>
      </c>
    </row>
    <row r="19" spans="1:13" ht="15.75" customHeight="1">
      <c r="A19" s="4">
        <v>45722</v>
      </c>
      <c r="B19" s="73">
        <v>-1.043E-16</v>
      </c>
      <c r="C19" s="73">
        <v>1.3600000000000001E-18</v>
      </c>
      <c r="D19" s="73">
        <v>-1.0428E-16</v>
      </c>
      <c r="E19" s="73">
        <v>1.3600000000000001E-18</v>
      </c>
      <c r="F19" s="73">
        <v>-1.4372E-17</v>
      </c>
      <c r="G19" s="73">
        <v>4.7200000000000003E-18</v>
      </c>
      <c r="H19" s="73">
        <v>-1.4557E-17</v>
      </c>
      <c r="I19" s="73">
        <v>4.7200000000000003E-18</v>
      </c>
      <c r="J19" s="73">
        <v>-1.2171000000000001E-16</v>
      </c>
      <c r="K19" s="73">
        <v>4.6799999999999997E-18</v>
      </c>
      <c r="L19" s="73">
        <v>-1.2193999999999999E-16</v>
      </c>
      <c r="M19" s="73">
        <v>4.6699999999999998E-18</v>
      </c>
    </row>
    <row r="20" spans="1:13" ht="15.75" customHeight="1">
      <c r="A20" s="22">
        <v>45723</v>
      </c>
      <c r="B20" s="72">
        <v>-1.0253E-16</v>
      </c>
      <c r="C20" s="73">
        <v>1.59E-18</v>
      </c>
      <c r="D20" s="73">
        <v>-1.0209E-16</v>
      </c>
      <c r="E20" s="73">
        <v>1.5800000000000001E-18</v>
      </c>
      <c r="F20" s="72">
        <v>-2.4903000000000001E-17</v>
      </c>
      <c r="G20" s="73">
        <v>4.78E-18</v>
      </c>
      <c r="H20" s="73">
        <v>-2.4845E-17</v>
      </c>
      <c r="I20" s="73">
        <v>4.6899999999999997E-18</v>
      </c>
      <c r="J20" s="72">
        <v>-1.2558000000000001E-16</v>
      </c>
      <c r="K20" s="73">
        <v>3.48E-18</v>
      </c>
      <c r="L20" s="73">
        <v>-1.2494999999999999E-16</v>
      </c>
      <c r="M20" s="73">
        <v>3.41E-18</v>
      </c>
    </row>
    <row r="21" spans="1:13" ht="15.75" customHeight="1">
      <c r="A21" s="4">
        <v>45729</v>
      </c>
      <c r="B21" s="73">
        <v>-1.0634000000000001E-16</v>
      </c>
      <c r="C21" s="73">
        <v>1.15E-18</v>
      </c>
      <c r="D21" s="73">
        <v>-1.066E-16</v>
      </c>
      <c r="E21" s="73">
        <v>1.1699999999999999E-18</v>
      </c>
      <c r="F21" s="73">
        <v>-1.4676000000000001E-17</v>
      </c>
      <c r="G21" s="73">
        <v>3.7999999999999998E-18</v>
      </c>
      <c r="H21" s="73">
        <v>-1.4405999999999999E-17</v>
      </c>
      <c r="I21" s="73">
        <v>3.77E-18</v>
      </c>
      <c r="J21" s="73">
        <v>-1.2190999999999999E-16</v>
      </c>
      <c r="K21" s="73">
        <v>3.6599999999999998E-18</v>
      </c>
      <c r="L21" s="73">
        <v>-1.2169000000000001E-16</v>
      </c>
      <c r="M21" s="73">
        <v>3.62E-18</v>
      </c>
    </row>
    <row r="22" spans="1:13" ht="15.75" customHeight="1">
      <c r="A22" s="22">
        <v>45734</v>
      </c>
      <c r="B22" s="72">
        <v>-1.0423999999999999E-16</v>
      </c>
      <c r="C22" s="73">
        <v>1.4700000000000001E-18</v>
      </c>
      <c r="D22" s="73">
        <v>-1.0422E-16</v>
      </c>
      <c r="E22" s="73">
        <v>1.4999999999999999E-18</v>
      </c>
      <c r="F22" s="72">
        <v>-1.5370999999999999E-17</v>
      </c>
      <c r="G22" s="73">
        <v>5.7300000000000003E-18</v>
      </c>
      <c r="H22" s="73">
        <v>-1.5300999999999999E-17</v>
      </c>
      <c r="I22" s="73">
        <v>5.8099999999999999E-18</v>
      </c>
      <c r="J22" s="72">
        <v>-1.1810000000000001E-16</v>
      </c>
      <c r="K22" s="73">
        <v>8.2699999999999999E-18</v>
      </c>
      <c r="L22" s="73">
        <v>-1.1816000000000001E-16</v>
      </c>
      <c r="M22" s="73">
        <v>8.4E-18</v>
      </c>
    </row>
    <row r="23" spans="1:13" ht="15.75" customHeight="1">
      <c r="A23" s="4">
        <v>45736</v>
      </c>
      <c r="B23" s="73">
        <v>-1.0674E-16</v>
      </c>
      <c r="C23" s="73">
        <v>1.0999999999999999E-18</v>
      </c>
      <c r="D23" s="73">
        <v>-1.0662E-16</v>
      </c>
      <c r="E23" s="73">
        <v>1.1100000000000001E-18</v>
      </c>
      <c r="F23" s="73">
        <v>-1.5623999999999999E-17</v>
      </c>
      <c r="G23" s="73">
        <v>3.6599999999999998E-18</v>
      </c>
      <c r="H23" s="73">
        <v>-1.6854E-17</v>
      </c>
      <c r="I23" s="73">
        <v>3.5399999999999997E-18</v>
      </c>
      <c r="J23" s="73">
        <v>-1.2211E-16</v>
      </c>
      <c r="K23" s="73">
        <v>3.4999999999999999E-18</v>
      </c>
      <c r="L23" s="73">
        <v>-1.233E-16</v>
      </c>
      <c r="M23" s="73">
        <v>3.4199999999999999E-18</v>
      </c>
    </row>
    <row r="24" spans="1:13" ht="15.75" customHeight="1">
      <c r="A24" s="4">
        <v>45737</v>
      </c>
      <c r="B24" s="74">
        <v>-1.0785E-16</v>
      </c>
      <c r="C24" s="74">
        <v>1.1800000000000001E-18</v>
      </c>
      <c r="D24" s="74">
        <v>-1.0795E-16</v>
      </c>
      <c r="E24" s="74">
        <v>1.49E-18</v>
      </c>
      <c r="F24" s="74">
        <v>-1.0207E-17</v>
      </c>
      <c r="G24" s="74">
        <v>3.9399999999999998E-18</v>
      </c>
      <c r="H24" s="74">
        <v>-9.4877999999999997E-18</v>
      </c>
      <c r="I24" s="74">
        <v>3.8299999999999997E-18</v>
      </c>
      <c r="J24" s="74">
        <v>-1.2048000000000001E-16</v>
      </c>
      <c r="K24" s="74">
        <v>3.9499999999999998E-18</v>
      </c>
      <c r="L24" s="74">
        <v>-1.2048000000000001E-16</v>
      </c>
      <c r="M24" s="74">
        <v>3.9499999999999998E-18</v>
      </c>
    </row>
    <row r="25" spans="1:13" s="48" customFormat="1" ht="18" customHeight="1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 spans="1:13" ht="15.75" customHeight="1">
      <c r="B26" s="5"/>
      <c r="D26" s="5"/>
      <c r="F26" s="5"/>
      <c r="H26" s="5"/>
      <c r="J26" s="5"/>
      <c r="L26" s="5"/>
    </row>
    <row r="27" spans="1:13" s="48" customFormat="1" ht="15.75" customHeight="1">
      <c r="A27" s="49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</row>
    <row r="28" spans="1:13" s="48" customFormat="1" ht="15.75" customHeight="1">
      <c r="A28" s="49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</row>
    <row r="29" spans="1:13" ht="15.75" customHeight="1"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spans="1:13" ht="15.75" customHeight="1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1:13" ht="15.75" customHeight="1"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spans="1:13" ht="15.75" customHeight="1"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spans="2:12" ht="15.75" customHeight="1">
      <c r="B33" s="5"/>
      <c r="D33" s="5"/>
      <c r="F33" s="5"/>
      <c r="H33" s="5"/>
      <c r="J33" s="5"/>
      <c r="L33" s="5"/>
    </row>
    <row r="34" spans="2:12" ht="15.75" customHeight="1">
      <c r="B34" s="5"/>
      <c r="D34" s="5"/>
      <c r="F34" s="5"/>
      <c r="H34" s="5"/>
      <c r="J34" s="5"/>
      <c r="L34" s="5"/>
    </row>
    <row r="35" spans="2:12" ht="15.75" customHeight="1">
      <c r="B35" s="5"/>
      <c r="D35" s="5"/>
      <c r="F35" s="5"/>
      <c r="H35" s="5"/>
      <c r="J35" s="5"/>
      <c r="L35" s="5"/>
    </row>
    <row r="36" spans="2:12" ht="15.75" customHeight="1">
      <c r="B36" s="5"/>
      <c r="D36" s="5"/>
      <c r="F36" s="5"/>
      <c r="H36" s="5"/>
      <c r="J36" s="5"/>
      <c r="L36" s="5"/>
    </row>
    <row r="37" spans="2:12" ht="15.75" customHeight="1">
      <c r="B37" s="5"/>
      <c r="D37" s="5"/>
      <c r="F37" s="5"/>
      <c r="H37" s="5"/>
      <c r="J37" s="5"/>
      <c r="L37" s="5"/>
    </row>
    <row r="38" spans="2:12" ht="15.75" customHeight="1">
      <c r="B38" s="5"/>
      <c r="D38" s="5"/>
      <c r="F38" s="5"/>
      <c r="H38" s="5"/>
      <c r="J38" s="5"/>
      <c r="L38" s="5"/>
    </row>
    <row r="39" spans="2:12" ht="15.75" customHeight="1">
      <c r="B39" s="5"/>
      <c r="D39" s="5"/>
      <c r="F39" s="5"/>
      <c r="H39" s="5"/>
      <c r="J39" s="5"/>
      <c r="L39" s="5"/>
    </row>
    <row r="40" spans="2:12" ht="15.75" customHeight="1">
      <c r="B40" s="5"/>
      <c r="D40" s="5"/>
      <c r="F40" s="5"/>
      <c r="H40" s="5"/>
      <c r="J40" s="5"/>
      <c r="L40" s="5"/>
    </row>
    <row r="41" spans="2:12" ht="15.75" customHeight="1">
      <c r="B41" s="5"/>
      <c r="D41" s="5"/>
      <c r="F41" s="5"/>
      <c r="H41" s="5"/>
      <c r="J41" s="5"/>
      <c r="L41" s="5"/>
    </row>
    <row r="42" spans="2:12" ht="15.75" customHeight="1">
      <c r="B42" s="5"/>
      <c r="D42" s="5"/>
      <c r="F42" s="5"/>
      <c r="H42" s="5"/>
      <c r="J42" s="5"/>
      <c r="L42" s="5"/>
    </row>
    <row r="43" spans="2:12" ht="15.75" customHeight="1">
      <c r="B43" s="5"/>
      <c r="D43" s="5"/>
      <c r="F43" s="5"/>
      <c r="H43" s="5"/>
      <c r="J43" s="5"/>
      <c r="L43" s="5"/>
    </row>
    <row r="44" spans="2:12" ht="15.75" customHeight="1">
      <c r="B44" s="5"/>
      <c r="D44" s="5"/>
      <c r="F44" s="5"/>
      <c r="H44" s="5"/>
      <c r="J44" s="5"/>
      <c r="L44" s="5"/>
    </row>
    <row r="45" spans="2:12" ht="15.75" customHeight="1">
      <c r="B45" s="5"/>
      <c r="D45" s="5"/>
      <c r="F45" s="5"/>
      <c r="H45" s="5"/>
      <c r="J45" s="5"/>
      <c r="L45" s="5"/>
    </row>
    <row r="46" spans="2:12" ht="15.75" customHeight="1">
      <c r="B46" s="5"/>
      <c r="D46" s="5"/>
      <c r="F46" s="5"/>
      <c r="H46" s="5"/>
      <c r="J46" s="5"/>
      <c r="L46" s="5"/>
    </row>
    <row r="47" spans="2:12" ht="15.75" customHeight="1">
      <c r="B47" s="5"/>
      <c r="D47" s="5"/>
      <c r="F47" s="5"/>
      <c r="H47" s="5"/>
      <c r="J47" s="5"/>
      <c r="L47" s="5"/>
    </row>
    <row r="48" spans="2:12" ht="15.75" customHeight="1">
      <c r="B48" s="5"/>
      <c r="D48" s="5"/>
      <c r="F48" s="5"/>
      <c r="H48" s="5"/>
      <c r="J48" s="5"/>
      <c r="L48" s="5"/>
    </row>
    <row r="49" spans="2:12" ht="18" customHeight="1">
      <c r="B49" s="5"/>
      <c r="D49" s="5"/>
      <c r="F49" s="5"/>
      <c r="H49" s="5"/>
      <c r="J49" s="5"/>
      <c r="L49" s="5"/>
    </row>
    <row r="50" spans="2:12" ht="18" customHeight="1">
      <c r="B50" s="5"/>
      <c r="D50" s="5"/>
      <c r="F50" s="5"/>
      <c r="H50" s="5"/>
      <c r="J50" s="5"/>
      <c r="L50" s="5"/>
    </row>
    <row r="51" spans="2:12" ht="18" customHeight="1">
      <c r="B51" s="5"/>
      <c r="D51" s="5"/>
      <c r="F51" s="5"/>
      <c r="H51" s="5"/>
      <c r="J51" s="5"/>
      <c r="L51" s="5"/>
    </row>
    <row r="52" spans="2:12" ht="18" customHeight="1">
      <c r="B52" s="5"/>
      <c r="D52" s="5"/>
      <c r="F52" s="5"/>
      <c r="H52" s="5"/>
      <c r="J52" s="5"/>
      <c r="L52" s="5"/>
    </row>
    <row r="53" spans="2:12" ht="18" customHeight="1">
      <c r="B53" s="5"/>
      <c r="D53" s="5"/>
      <c r="F53" s="5"/>
      <c r="H53" s="5"/>
      <c r="J53" s="5"/>
      <c r="L53" s="5"/>
    </row>
    <row r="54" spans="2:12" ht="18" customHeight="1">
      <c r="B54" s="5"/>
      <c r="D54" s="5"/>
      <c r="F54" s="5"/>
      <c r="H54" s="5"/>
      <c r="J54" s="5"/>
      <c r="L54" s="5"/>
    </row>
    <row r="55" spans="2:12" ht="18" customHeight="1">
      <c r="B55" s="5"/>
      <c r="D55" s="5"/>
      <c r="F55" s="5"/>
      <c r="H55" s="5"/>
      <c r="J55" s="5"/>
      <c r="L55" s="5"/>
    </row>
    <row r="56" spans="2:12" ht="18" customHeight="1">
      <c r="B56" s="5"/>
      <c r="D56" s="5"/>
      <c r="F56" s="5"/>
      <c r="H56" s="5"/>
      <c r="J56" s="5"/>
      <c r="L56" s="5"/>
    </row>
    <row r="57" spans="2:12" ht="18" customHeight="1">
      <c r="B57" s="5"/>
      <c r="D57" s="5"/>
      <c r="F57" s="5"/>
      <c r="H57" s="5"/>
      <c r="J57" s="5"/>
      <c r="L57" s="5"/>
    </row>
    <row r="58" spans="2:12" ht="18" customHeight="1">
      <c r="B58" s="5"/>
      <c r="D58" s="5"/>
      <c r="F58" s="5"/>
      <c r="H58" s="5"/>
      <c r="J58" s="5"/>
      <c r="L58" s="5"/>
    </row>
    <row r="59" spans="2:12" ht="18" customHeight="1">
      <c r="B59" s="5"/>
      <c r="D59" s="5"/>
      <c r="F59" s="5"/>
      <c r="H59" s="5"/>
      <c r="J59" s="5"/>
      <c r="L59" s="5"/>
    </row>
    <row r="60" spans="2:12" ht="18" customHeight="1">
      <c r="B60" s="5"/>
      <c r="D60" s="5"/>
      <c r="F60" s="5"/>
      <c r="H60" s="5"/>
      <c r="J60" s="5"/>
      <c r="L60" s="5"/>
    </row>
    <row r="61" spans="2:12" ht="18" customHeight="1">
      <c r="B61" s="5"/>
      <c r="D61" s="5"/>
      <c r="F61" s="5"/>
      <c r="H61" s="5"/>
      <c r="J61" s="5"/>
      <c r="L61" s="5"/>
    </row>
    <row r="62" spans="2:12" ht="18" customHeight="1">
      <c r="B62" s="5"/>
      <c r="D62" s="5"/>
      <c r="F62" s="5"/>
      <c r="H62" s="5"/>
      <c r="J62" s="5"/>
      <c r="L62" s="5"/>
    </row>
    <row r="63" spans="2:12" ht="18" customHeight="1">
      <c r="B63" s="5"/>
      <c r="D63" s="5"/>
      <c r="F63" s="5"/>
      <c r="H63" s="5"/>
      <c r="J63" s="5"/>
      <c r="L63" s="5"/>
    </row>
    <row r="64" spans="2:12" ht="18" customHeight="1">
      <c r="B64" s="5"/>
      <c r="D64" s="5"/>
      <c r="F64" s="5"/>
      <c r="H64" s="5"/>
      <c r="J64" s="5"/>
      <c r="L64" s="5"/>
    </row>
    <row r="65" spans="2:12" ht="18" customHeight="1">
      <c r="B65" s="5"/>
      <c r="D65" s="5"/>
      <c r="F65" s="5"/>
      <c r="H65" s="5"/>
      <c r="J65" s="5"/>
      <c r="L65" s="5"/>
    </row>
    <row r="66" spans="2:12" ht="18" customHeight="1">
      <c r="B66" s="5"/>
      <c r="D66" s="5"/>
      <c r="F66" s="5"/>
      <c r="H66" s="5"/>
      <c r="J66" s="5"/>
      <c r="L66" s="5"/>
    </row>
    <row r="67" spans="2:12" ht="18" customHeight="1">
      <c r="B67" s="5"/>
      <c r="D67" s="5"/>
      <c r="F67" s="5"/>
      <c r="H67" s="5"/>
      <c r="J67" s="5"/>
      <c r="L67" s="5"/>
    </row>
    <row r="68" spans="2:12" ht="18" customHeight="1">
      <c r="B68" s="5"/>
      <c r="D68" s="5"/>
      <c r="F68" s="5"/>
      <c r="H68" s="5"/>
      <c r="J68" s="5"/>
      <c r="L68" s="5"/>
    </row>
    <row r="69" spans="2:12" ht="18" customHeight="1">
      <c r="B69" s="5"/>
      <c r="D69" s="5"/>
      <c r="F69" s="5"/>
      <c r="H69" s="5"/>
      <c r="J69" s="5"/>
      <c r="L69" s="5"/>
    </row>
    <row r="70" spans="2:12" ht="18" customHeight="1">
      <c r="B70" s="5"/>
      <c r="D70" s="5"/>
      <c r="F70" s="5"/>
      <c r="H70" s="5"/>
      <c r="J70" s="5"/>
      <c r="L70" s="5"/>
    </row>
    <row r="71" spans="2:12" ht="18" customHeight="1">
      <c r="B71" s="5"/>
      <c r="D71" s="5"/>
      <c r="F71" s="5"/>
      <c r="H71" s="5"/>
      <c r="J71" s="5"/>
      <c r="L71" s="5"/>
    </row>
    <row r="72" spans="2:12" ht="18" customHeight="1">
      <c r="B72" s="5"/>
      <c r="D72" s="5"/>
      <c r="F72" s="5"/>
      <c r="H72" s="5"/>
      <c r="J72" s="5"/>
      <c r="L72" s="5"/>
    </row>
    <row r="73" spans="2:12" ht="18" customHeight="1">
      <c r="B73" s="5"/>
      <c r="D73" s="5"/>
      <c r="F73" s="5"/>
      <c r="H73" s="5"/>
      <c r="J73" s="5"/>
      <c r="L73" s="5"/>
    </row>
    <row r="74" spans="2:12" ht="18" customHeight="1">
      <c r="B74" s="5"/>
      <c r="D74" s="5"/>
      <c r="F74" s="5"/>
      <c r="H74" s="5"/>
      <c r="J74" s="5"/>
      <c r="L74" s="5"/>
    </row>
    <row r="75" spans="2:12" ht="18" customHeight="1">
      <c r="B75" s="5"/>
      <c r="D75" s="5"/>
      <c r="F75" s="5"/>
      <c r="H75" s="5"/>
      <c r="J75" s="5"/>
      <c r="L75" s="5"/>
    </row>
    <row r="76" spans="2:12" ht="18" customHeight="1">
      <c r="B76" s="5"/>
      <c r="D76" s="5"/>
      <c r="F76" s="5"/>
      <c r="H76" s="5"/>
      <c r="J76" s="5"/>
      <c r="L76" s="5"/>
    </row>
    <row r="77" spans="2:12" ht="18" customHeight="1">
      <c r="B77" s="5"/>
      <c r="D77" s="5"/>
      <c r="F77" s="5"/>
      <c r="H77" s="5"/>
      <c r="J77" s="5"/>
      <c r="L77" s="5"/>
    </row>
    <row r="78" spans="2:12" ht="18" customHeight="1">
      <c r="B78" s="5"/>
      <c r="D78" s="5"/>
      <c r="F78" s="5"/>
      <c r="H78" s="5"/>
      <c r="J78" s="5"/>
      <c r="L78" s="5"/>
    </row>
    <row r="79" spans="2:12" ht="18" customHeight="1">
      <c r="B79" s="5"/>
      <c r="D79" s="5"/>
      <c r="F79" s="5"/>
      <c r="H79" s="5"/>
      <c r="J79" s="5"/>
      <c r="L79" s="5"/>
    </row>
    <row r="80" spans="2:12" ht="18" customHeight="1">
      <c r="B80" s="5"/>
      <c r="D80" s="5"/>
      <c r="F80" s="5"/>
      <c r="H80" s="5"/>
      <c r="J80" s="5"/>
      <c r="L80" s="5"/>
    </row>
    <row r="81" spans="2:12" ht="18" customHeight="1">
      <c r="B81" s="5"/>
      <c r="D81" s="5"/>
      <c r="F81" s="5"/>
      <c r="H81" s="5"/>
      <c r="J81" s="5"/>
      <c r="L81" s="5"/>
    </row>
    <row r="82" spans="2:12" ht="18" customHeight="1">
      <c r="B82" s="5"/>
      <c r="D82" s="5"/>
      <c r="F82" s="5"/>
      <c r="H82" s="5"/>
      <c r="J82" s="5"/>
      <c r="L82" s="5"/>
    </row>
    <row r="83" spans="2:12" ht="18" customHeight="1">
      <c r="B83" s="5"/>
      <c r="D83" s="5"/>
      <c r="F83" s="5"/>
      <c r="H83" s="5"/>
      <c r="J83" s="5"/>
      <c r="L83" s="5"/>
    </row>
    <row r="84" spans="2:12" ht="18" customHeight="1">
      <c r="B84" s="5"/>
      <c r="D84" s="5"/>
      <c r="F84" s="5"/>
      <c r="H84" s="5"/>
      <c r="J84" s="5"/>
      <c r="L84" s="5"/>
    </row>
    <row r="85" spans="2:12" ht="18" customHeight="1">
      <c r="B85" s="5"/>
      <c r="D85" s="5"/>
      <c r="F85" s="5"/>
      <c r="H85" s="5"/>
      <c r="J85" s="5"/>
      <c r="L85" s="5"/>
    </row>
    <row r="86" spans="2:12" ht="18" customHeight="1">
      <c r="B86" s="5"/>
      <c r="D86" s="5"/>
      <c r="F86" s="5"/>
      <c r="H86" s="5"/>
      <c r="J86" s="5"/>
      <c r="L86" s="5"/>
    </row>
    <row r="87" spans="2:12" ht="18" customHeight="1">
      <c r="B87" s="5"/>
      <c r="D87" s="5"/>
      <c r="F87" s="5"/>
      <c r="H87" s="5"/>
      <c r="J87" s="5"/>
      <c r="L87" s="5"/>
    </row>
    <row r="88" spans="2:12" ht="18" customHeight="1">
      <c r="B88" s="5"/>
      <c r="D88" s="5"/>
      <c r="F88" s="5"/>
      <c r="H88" s="5"/>
      <c r="J88" s="5"/>
      <c r="L88" s="5"/>
    </row>
    <row r="89" spans="2:12" ht="18" customHeight="1">
      <c r="B89" s="5"/>
      <c r="D89" s="5"/>
      <c r="F89" s="5"/>
      <c r="H89" s="5"/>
      <c r="J89" s="5"/>
      <c r="L89" s="5"/>
    </row>
    <row r="90" spans="2:12" ht="18" customHeight="1">
      <c r="B90" s="5"/>
      <c r="D90" s="5"/>
      <c r="F90" s="5"/>
      <c r="H90" s="5"/>
      <c r="J90" s="5"/>
      <c r="L90" s="5"/>
    </row>
    <row r="91" spans="2:12" ht="18" customHeight="1">
      <c r="B91" s="5"/>
      <c r="D91" s="5"/>
      <c r="F91" s="5"/>
      <c r="H91" s="5"/>
      <c r="J91" s="5"/>
      <c r="L91" s="5"/>
    </row>
    <row r="92" spans="2:12" ht="18" customHeight="1">
      <c r="B92" s="5"/>
      <c r="D92" s="5"/>
      <c r="F92" s="5"/>
      <c r="H92" s="5"/>
      <c r="J92" s="5"/>
      <c r="L92" s="5"/>
    </row>
    <row r="93" spans="2:12" ht="18" customHeight="1">
      <c r="B93" s="5"/>
      <c r="D93" s="5"/>
      <c r="F93" s="5"/>
      <c r="H93" s="5"/>
      <c r="J93" s="5"/>
      <c r="L93" s="5"/>
    </row>
    <row r="94" spans="2:12" ht="18" customHeight="1">
      <c r="B94" s="5"/>
      <c r="D94" s="5"/>
      <c r="F94" s="5"/>
      <c r="H94" s="5"/>
      <c r="J94" s="5"/>
      <c r="L94" s="5"/>
    </row>
    <row r="95" spans="2:12" ht="18" customHeight="1">
      <c r="B95" s="5"/>
      <c r="D95" s="5"/>
      <c r="F95" s="5"/>
      <c r="H95" s="5"/>
      <c r="J95" s="5"/>
      <c r="L95" s="5"/>
    </row>
    <row r="96" spans="2:12" ht="18" customHeight="1">
      <c r="B96" s="5"/>
      <c r="D96" s="5"/>
      <c r="F96" s="5"/>
      <c r="H96" s="5"/>
      <c r="J96" s="5"/>
      <c r="L96" s="5"/>
    </row>
    <row r="97" spans="2:12" ht="18" customHeight="1">
      <c r="B97" s="5"/>
      <c r="D97" s="5"/>
      <c r="F97" s="5"/>
      <c r="H97" s="5"/>
      <c r="J97" s="5"/>
      <c r="L97" s="5"/>
    </row>
    <row r="98" spans="2:12" ht="18" customHeight="1">
      <c r="B98" s="5"/>
      <c r="D98" s="5"/>
      <c r="F98" s="5"/>
      <c r="H98" s="5"/>
      <c r="J98" s="5"/>
      <c r="L98" s="5"/>
    </row>
    <row r="99" spans="2:12" ht="18" customHeight="1">
      <c r="B99" s="5"/>
      <c r="D99" s="5"/>
      <c r="F99" s="5"/>
      <c r="H99" s="5"/>
      <c r="J99" s="5"/>
      <c r="L99" s="5"/>
    </row>
    <row r="100" spans="2:12" ht="18" customHeight="1">
      <c r="B100" s="5"/>
      <c r="D100" s="5"/>
      <c r="F100" s="5"/>
      <c r="H100" s="5"/>
      <c r="J100" s="5"/>
      <c r="L100" s="5"/>
    </row>
    <row r="101" spans="2:12" ht="18" customHeight="1">
      <c r="B101" s="5"/>
      <c r="D101" s="5"/>
      <c r="F101" s="5"/>
      <c r="H101" s="5"/>
      <c r="J101" s="5"/>
      <c r="L101" s="5"/>
    </row>
    <row r="102" spans="2:12" ht="18" customHeight="1">
      <c r="B102" s="5"/>
      <c r="D102" s="5"/>
      <c r="F102" s="5"/>
      <c r="H102" s="5"/>
      <c r="J102" s="5"/>
      <c r="L102" s="5"/>
    </row>
    <row r="103" spans="2:12" ht="18" customHeight="1">
      <c r="B103" s="5"/>
      <c r="D103" s="5"/>
      <c r="F103" s="5"/>
      <c r="H103" s="5"/>
      <c r="J103" s="5"/>
      <c r="L103" s="5"/>
    </row>
    <row r="104" spans="2:12" ht="18" customHeight="1">
      <c r="B104" s="5"/>
      <c r="D104" s="5"/>
      <c r="F104" s="5"/>
      <c r="H104" s="5"/>
      <c r="J104" s="5"/>
      <c r="L104" s="5"/>
    </row>
    <row r="105" spans="2:12" ht="18" customHeight="1">
      <c r="B105" s="5"/>
      <c r="D105" s="5"/>
      <c r="F105" s="5"/>
      <c r="H105" s="5"/>
      <c r="J105" s="5"/>
      <c r="L105" s="5"/>
    </row>
    <row r="106" spans="2:12" ht="18" customHeight="1">
      <c r="B106" s="5"/>
      <c r="D106" s="5"/>
      <c r="F106" s="5"/>
      <c r="H106" s="5"/>
      <c r="J106" s="5"/>
      <c r="L106" s="5"/>
    </row>
    <row r="107" spans="2:12" ht="18" customHeight="1">
      <c r="B107" s="5"/>
      <c r="D107" s="5"/>
      <c r="F107" s="5"/>
      <c r="H107" s="5"/>
      <c r="J107" s="5"/>
      <c r="L107" s="5"/>
    </row>
    <row r="108" spans="2:12" ht="18" customHeight="1">
      <c r="B108" s="5"/>
      <c r="D108" s="5"/>
      <c r="F108" s="5"/>
      <c r="H108" s="5"/>
      <c r="J108" s="5"/>
      <c r="L108" s="5"/>
    </row>
    <row r="109" spans="2:12" ht="18" customHeight="1">
      <c r="B109" s="5"/>
      <c r="D109" s="5"/>
      <c r="F109" s="5"/>
      <c r="H109" s="5"/>
      <c r="J109" s="5"/>
      <c r="L109" s="5"/>
    </row>
    <row r="110" spans="2:12" ht="18" customHeight="1">
      <c r="B110" s="5"/>
      <c r="D110" s="5"/>
      <c r="F110" s="5"/>
      <c r="H110" s="5"/>
      <c r="J110" s="5"/>
      <c r="L110" s="5"/>
    </row>
    <row r="111" spans="2:12" ht="18" customHeight="1">
      <c r="B111" s="5"/>
      <c r="D111" s="5"/>
      <c r="F111" s="5"/>
      <c r="H111" s="5"/>
      <c r="J111" s="5"/>
      <c r="L111" s="5"/>
    </row>
    <row r="112" spans="2:12" ht="18" customHeight="1">
      <c r="B112" s="5"/>
      <c r="D112" s="5"/>
      <c r="F112" s="5"/>
      <c r="H112" s="5"/>
      <c r="J112" s="5"/>
      <c r="L112" s="5"/>
    </row>
    <row r="113" spans="2:12" ht="18" customHeight="1">
      <c r="B113" s="5"/>
      <c r="D113" s="5"/>
      <c r="F113" s="5"/>
      <c r="H113" s="5"/>
      <c r="J113" s="5"/>
      <c r="L113" s="5"/>
    </row>
    <row r="114" spans="2:12" ht="18" customHeight="1">
      <c r="B114" s="5"/>
      <c r="D114" s="5"/>
      <c r="F114" s="5"/>
      <c r="H114" s="5"/>
      <c r="J114" s="5"/>
      <c r="L114" s="5"/>
    </row>
    <row r="115" spans="2:12" ht="18" customHeight="1">
      <c r="B115" s="5"/>
      <c r="D115" s="5"/>
      <c r="F115" s="5"/>
      <c r="H115" s="5"/>
      <c r="J115" s="5"/>
      <c r="L115" s="5"/>
    </row>
    <row r="116" spans="2:12" ht="18" customHeight="1">
      <c r="B116" s="5"/>
      <c r="D116" s="5"/>
      <c r="F116" s="5"/>
      <c r="H116" s="5"/>
      <c r="J116" s="5"/>
      <c r="L116" s="5"/>
    </row>
    <row r="117" spans="2:12" ht="18" customHeight="1">
      <c r="B117" s="5"/>
      <c r="D117" s="5"/>
      <c r="F117" s="5"/>
      <c r="H117" s="5"/>
      <c r="J117" s="5"/>
      <c r="L117" s="5"/>
    </row>
    <row r="118" spans="2:12" ht="18" customHeight="1">
      <c r="B118" s="5"/>
      <c r="D118" s="5"/>
      <c r="F118" s="5"/>
      <c r="H118" s="5"/>
      <c r="J118" s="5"/>
      <c r="L118" s="5"/>
    </row>
    <row r="119" spans="2:12" ht="18" customHeight="1">
      <c r="B119" s="5"/>
      <c r="D119" s="5"/>
      <c r="F119" s="5"/>
      <c r="H119" s="5"/>
      <c r="J119" s="5"/>
      <c r="L119" s="5"/>
    </row>
    <row r="120" spans="2:12" ht="18" customHeight="1">
      <c r="B120" s="5"/>
      <c r="D120" s="5"/>
      <c r="F120" s="5"/>
      <c r="H120" s="5"/>
      <c r="J120" s="5"/>
      <c r="L120" s="5"/>
    </row>
    <row r="121" spans="2:12" ht="18" customHeight="1">
      <c r="B121" s="5"/>
      <c r="D121" s="5"/>
      <c r="F121" s="5"/>
      <c r="H121" s="5"/>
      <c r="J121" s="5"/>
      <c r="L121" s="5"/>
    </row>
    <row r="122" spans="2:12" ht="18" customHeight="1">
      <c r="B122" s="5"/>
      <c r="D122" s="5"/>
      <c r="F122" s="5"/>
      <c r="H122" s="5"/>
      <c r="J122" s="5"/>
      <c r="L122" s="5"/>
    </row>
    <row r="123" spans="2:12" ht="18" customHeight="1">
      <c r="B123" s="5"/>
      <c r="D123" s="5"/>
      <c r="F123" s="5"/>
      <c r="H123" s="5"/>
      <c r="J123" s="5"/>
      <c r="L123" s="5"/>
    </row>
    <row r="124" spans="2:12" ht="18" customHeight="1">
      <c r="B124" s="5"/>
      <c r="D124" s="5"/>
      <c r="F124" s="5"/>
      <c r="H124" s="5"/>
      <c r="J124" s="5"/>
      <c r="L124" s="5"/>
    </row>
    <row r="125" spans="2:12" ht="18" customHeight="1">
      <c r="B125" s="5"/>
      <c r="D125" s="5"/>
      <c r="F125" s="5"/>
      <c r="H125" s="5"/>
      <c r="J125" s="5"/>
      <c r="L125" s="5"/>
    </row>
    <row r="126" spans="2:12" ht="18" customHeight="1">
      <c r="B126" s="5"/>
      <c r="D126" s="5"/>
      <c r="F126" s="5"/>
      <c r="H126" s="5"/>
      <c r="J126" s="5"/>
      <c r="L126" s="5"/>
    </row>
    <row r="127" spans="2:12" ht="18" customHeight="1">
      <c r="B127" s="5"/>
      <c r="D127" s="5"/>
      <c r="F127" s="5"/>
      <c r="H127" s="5"/>
      <c r="J127" s="5"/>
      <c r="L127" s="5"/>
    </row>
    <row r="128" spans="2:12" ht="18" customHeight="1">
      <c r="B128" s="5"/>
      <c r="D128" s="5"/>
      <c r="F128" s="5"/>
      <c r="H128" s="5"/>
      <c r="J128" s="5"/>
      <c r="L128" s="5"/>
    </row>
    <row r="129" spans="2:12" ht="18" customHeight="1">
      <c r="B129" s="5"/>
      <c r="D129" s="5"/>
      <c r="F129" s="5"/>
      <c r="H129" s="5"/>
      <c r="J129" s="5"/>
      <c r="L129" s="5"/>
    </row>
    <row r="130" spans="2:12" ht="18" customHeight="1">
      <c r="B130" s="5"/>
      <c r="D130" s="5"/>
      <c r="F130" s="5"/>
      <c r="H130" s="5"/>
      <c r="J130" s="5"/>
      <c r="L130" s="5"/>
    </row>
    <row r="131" spans="2:12" ht="18" customHeight="1">
      <c r="B131" s="5"/>
      <c r="D131" s="5"/>
      <c r="F131" s="5"/>
      <c r="H131" s="5"/>
      <c r="J131" s="5"/>
      <c r="L131" s="5"/>
    </row>
    <row r="132" spans="2:12" ht="18" customHeight="1">
      <c r="B132" s="5"/>
      <c r="D132" s="5"/>
      <c r="F132" s="5"/>
      <c r="H132" s="5"/>
      <c r="J132" s="5"/>
      <c r="L132" s="5"/>
    </row>
    <row r="133" spans="2:12" ht="18" customHeight="1">
      <c r="B133" s="5"/>
      <c r="D133" s="5"/>
      <c r="F133" s="5"/>
      <c r="H133" s="5"/>
      <c r="J133" s="5"/>
      <c r="L133" s="5"/>
    </row>
    <row r="134" spans="2:12" ht="18" customHeight="1">
      <c r="B134" s="5"/>
      <c r="D134" s="5"/>
      <c r="F134" s="5"/>
      <c r="H134" s="5"/>
      <c r="J134" s="5"/>
      <c r="L134" s="5"/>
    </row>
    <row r="135" spans="2:12" ht="18" customHeight="1">
      <c r="B135" s="5"/>
      <c r="D135" s="5"/>
      <c r="F135" s="5"/>
      <c r="H135" s="5"/>
      <c r="J135" s="5"/>
      <c r="L135" s="5"/>
    </row>
    <row r="136" spans="2:12" ht="18" customHeight="1">
      <c r="B136" s="5"/>
      <c r="D136" s="5"/>
      <c r="F136" s="5"/>
      <c r="H136" s="5"/>
      <c r="J136" s="5"/>
      <c r="L136" s="5"/>
    </row>
    <row r="137" spans="2:12" ht="18" customHeight="1">
      <c r="B137" s="5"/>
      <c r="D137" s="5"/>
      <c r="F137" s="5"/>
      <c r="H137" s="5"/>
      <c r="J137" s="5"/>
      <c r="L137" s="5"/>
    </row>
    <row r="138" spans="2:12" ht="18" customHeight="1">
      <c r="B138" s="5"/>
      <c r="D138" s="5"/>
      <c r="F138" s="5"/>
      <c r="H138" s="5"/>
      <c r="J138" s="5"/>
      <c r="L138" s="5"/>
    </row>
    <row r="139" spans="2:12" ht="18" customHeight="1">
      <c r="B139" s="5"/>
      <c r="D139" s="5"/>
      <c r="F139" s="5"/>
      <c r="H139" s="5"/>
      <c r="J139" s="5"/>
      <c r="L139" s="5"/>
    </row>
    <row r="140" spans="2:12" ht="18" customHeight="1">
      <c r="B140" s="5"/>
      <c r="D140" s="5"/>
      <c r="F140" s="5"/>
      <c r="H140" s="5"/>
      <c r="J140" s="5"/>
      <c r="L140" s="5"/>
    </row>
    <row r="141" spans="2:12" ht="18" customHeight="1">
      <c r="B141" s="5"/>
      <c r="D141" s="5"/>
      <c r="F141" s="5"/>
      <c r="H141" s="5"/>
      <c r="J141" s="5"/>
      <c r="L141" s="5"/>
    </row>
    <row r="142" spans="2:12" ht="18" customHeight="1">
      <c r="B142" s="5"/>
      <c r="D142" s="5"/>
      <c r="F142" s="5"/>
      <c r="H142" s="5"/>
      <c r="J142" s="5"/>
      <c r="L142" s="5"/>
    </row>
    <row r="143" spans="2:12" ht="18" customHeight="1">
      <c r="B143" s="5"/>
      <c r="D143" s="5"/>
      <c r="F143" s="5"/>
      <c r="H143" s="5"/>
      <c r="J143" s="5"/>
      <c r="L143" s="5"/>
    </row>
    <row r="144" spans="2:12" ht="18" customHeight="1">
      <c r="B144" s="5"/>
      <c r="D144" s="5"/>
      <c r="F144" s="5"/>
      <c r="H144" s="5"/>
      <c r="J144" s="5"/>
      <c r="L144" s="5"/>
    </row>
    <row r="145" spans="2:12" ht="18" customHeight="1">
      <c r="B145" s="5"/>
      <c r="D145" s="5"/>
      <c r="F145" s="5"/>
      <c r="H145" s="5"/>
      <c r="J145" s="5"/>
      <c r="L145" s="5"/>
    </row>
    <row r="146" spans="2:12" ht="18" customHeight="1">
      <c r="B146" s="5"/>
      <c r="D146" s="5"/>
      <c r="F146" s="5"/>
      <c r="H146" s="5"/>
      <c r="J146" s="5"/>
      <c r="L146" s="5"/>
    </row>
    <row r="147" spans="2:12" ht="18" customHeight="1">
      <c r="B147" s="5"/>
      <c r="D147" s="5"/>
      <c r="F147" s="5"/>
      <c r="H147" s="5"/>
      <c r="J147" s="5"/>
      <c r="L147" s="5"/>
    </row>
    <row r="148" spans="2:12" ht="18" customHeight="1">
      <c r="B148" s="5"/>
      <c r="D148" s="5"/>
      <c r="F148" s="5"/>
      <c r="H148" s="5"/>
      <c r="J148" s="5"/>
      <c r="L148" s="5"/>
    </row>
    <row r="149" spans="2:12" ht="18" customHeight="1">
      <c r="B149" s="5"/>
      <c r="D149" s="5"/>
      <c r="F149" s="5"/>
      <c r="H149" s="5"/>
      <c r="J149" s="5"/>
      <c r="L149" s="5"/>
    </row>
    <row r="150" spans="2:12" ht="18" customHeight="1">
      <c r="B150" s="5"/>
      <c r="D150" s="5"/>
      <c r="F150" s="5"/>
      <c r="H150" s="5"/>
      <c r="J150" s="5"/>
      <c r="L150" s="5"/>
    </row>
    <row r="151" spans="2:12" ht="18" customHeight="1">
      <c r="B151" s="5"/>
      <c r="D151" s="5"/>
      <c r="F151" s="5"/>
      <c r="H151" s="5"/>
      <c r="J151" s="5"/>
      <c r="L151" s="5"/>
    </row>
    <row r="152" spans="2:12" ht="18" customHeight="1">
      <c r="B152" s="5"/>
      <c r="D152" s="5"/>
      <c r="F152" s="5"/>
      <c r="H152" s="5"/>
      <c r="J152" s="5"/>
      <c r="L152" s="5"/>
    </row>
    <row r="153" spans="2:12" ht="18" customHeight="1">
      <c r="B153" s="5"/>
      <c r="D153" s="5"/>
      <c r="F153" s="5"/>
      <c r="H153" s="5"/>
      <c r="J153" s="5"/>
      <c r="L153" s="5"/>
    </row>
    <row r="154" spans="2:12" ht="18" customHeight="1">
      <c r="B154" s="5"/>
      <c r="D154" s="5"/>
      <c r="F154" s="5"/>
      <c r="H154" s="5"/>
      <c r="J154" s="5"/>
      <c r="L154" s="5"/>
    </row>
    <row r="155" spans="2:12" ht="18" customHeight="1">
      <c r="B155" s="5"/>
      <c r="D155" s="5"/>
      <c r="F155" s="5"/>
      <c r="H155" s="5"/>
      <c r="J155" s="5"/>
      <c r="L155" s="5"/>
    </row>
    <row r="156" spans="2:12" ht="18" customHeight="1">
      <c r="B156" s="5"/>
      <c r="D156" s="5"/>
      <c r="F156" s="5"/>
      <c r="H156" s="5"/>
      <c r="J156" s="5"/>
      <c r="L156" s="5"/>
    </row>
    <row r="157" spans="2:12" ht="18" customHeight="1">
      <c r="B157" s="5"/>
      <c r="D157" s="5"/>
      <c r="F157" s="5"/>
      <c r="H157" s="5"/>
      <c r="J157" s="5"/>
      <c r="L157" s="5"/>
    </row>
    <row r="158" spans="2:12" ht="18" customHeight="1">
      <c r="B158" s="5"/>
      <c r="D158" s="5"/>
      <c r="F158" s="5"/>
      <c r="H158" s="5"/>
      <c r="J158" s="5"/>
      <c r="L158" s="5"/>
    </row>
    <row r="159" spans="2:12" ht="18" customHeight="1">
      <c r="B159" s="5"/>
      <c r="D159" s="5"/>
      <c r="F159" s="5"/>
      <c r="H159" s="5"/>
      <c r="J159" s="5"/>
      <c r="L159" s="5"/>
    </row>
    <row r="160" spans="2:12" ht="18" customHeight="1">
      <c r="B160" s="5"/>
      <c r="D160" s="5"/>
      <c r="F160" s="5"/>
      <c r="H160" s="5"/>
      <c r="J160" s="5"/>
      <c r="L160" s="5"/>
    </row>
    <row r="161" spans="2:12" ht="18" customHeight="1">
      <c r="B161" s="5"/>
      <c r="D161" s="5"/>
      <c r="F161" s="5"/>
      <c r="H161" s="5"/>
      <c r="J161" s="5"/>
      <c r="L161" s="5"/>
    </row>
    <row r="162" spans="2:12" ht="18" customHeight="1">
      <c r="B162" s="5"/>
      <c r="D162" s="5"/>
      <c r="F162" s="5"/>
      <c r="H162" s="5"/>
      <c r="J162" s="5"/>
      <c r="L162" s="5"/>
    </row>
    <row r="163" spans="2:12" ht="18" customHeight="1">
      <c r="B163" s="5"/>
      <c r="D163" s="5"/>
      <c r="F163" s="5"/>
      <c r="H163" s="5"/>
      <c r="J163" s="5"/>
      <c r="L163" s="5"/>
    </row>
    <row r="164" spans="2:12" ht="18" customHeight="1">
      <c r="B164" s="5"/>
      <c r="D164" s="5"/>
      <c r="F164" s="5"/>
      <c r="H164" s="5"/>
      <c r="J164" s="5"/>
      <c r="L164" s="5"/>
    </row>
    <row r="165" spans="2:12" ht="18" customHeight="1">
      <c r="B165" s="5"/>
      <c r="D165" s="5"/>
      <c r="F165" s="5"/>
      <c r="H165" s="5"/>
      <c r="J165" s="5"/>
      <c r="L165" s="5"/>
    </row>
    <row r="166" spans="2:12" ht="18" customHeight="1">
      <c r="B166" s="5"/>
      <c r="D166" s="5"/>
      <c r="F166" s="5"/>
      <c r="H166" s="5"/>
      <c r="J166" s="5"/>
      <c r="L166" s="5"/>
    </row>
    <row r="167" spans="2:12" ht="18" customHeight="1">
      <c r="B167" s="5"/>
      <c r="D167" s="5"/>
      <c r="F167" s="5"/>
      <c r="H167" s="5"/>
      <c r="J167" s="5"/>
      <c r="L167" s="5"/>
    </row>
    <row r="168" spans="2:12" ht="18" customHeight="1">
      <c r="B168" s="5"/>
      <c r="D168" s="5"/>
      <c r="F168" s="5"/>
      <c r="H168" s="5"/>
      <c r="J168" s="5"/>
      <c r="L168" s="5"/>
    </row>
    <row r="169" spans="2:12" ht="18" customHeight="1">
      <c r="B169" s="5"/>
      <c r="D169" s="5"/>
      <c r="F169" s="5"/>
      <c r="H169" s="5"/>
      <c r="J169" s="5"/>
      <c r="L169" s="5"/>
    </row>
    <row r="170" spans="2:12" ht="18" customHeight="1">
      <c r="B170" s="5"/>
      <c r="D170" s="5"/>
      <c r="F170" s="5"/>
      <c r="H170" s="5"/>
      <c r="J170" s="5"/>
      <c r="L170" s="5"/>
    </row>
    <row r="171" spans="2:12" ht="18" customHeight="1">
      <c r="B171" s="5"/>
      <c r="D171" s="5"/>
      <c r="F171" s="5"/>
      <c r="H171" s="5"/>
      <c r="J171" s="5"/>
      <c r="L171" s="5"/>
    </row>
    <row r="172" spans="2:12" ht="18" customHeight="1">
      <c r="B172" s="5"/>
      <c r="D172" s="5"/>
      <c r="F172" s="5"/>
      <c r="H172" s="5"/>
      <c r="J172" s="5"/>
      <c r="L172" s="5"/>
    </row>
    <row r="173" spans="2:12" ht="18" customHeight="1">
      <c r="B173" s="5"/>
      <c r="D173" s="5"/>
      <c r="F173" s="5"/>
      <c r="H173" s="5"/>
      <c r="J173" s="5"/>
      <c r="L173" s="5"/>
    </row>
    <row r="174" spans="2:12" ht="18" customHeight="1">
      <c r="B174" s="5"/>
      <c r="D174" s="5"/>
      <c r="F174" s="5"/>
      <c r="H174" s="5"/>
      <c r="J174" s="5"/>
      <c r="L174" s="5"/>
    </row>
    <row r="175" spans="2:12" ht="18" customHeight="1">
      <c r="B175" s="5"/>
      <c r="D175" s="5"/>
      <c r="F175" s="5"/>
      <c r="H175" s="5"/>
      <c r="J175" s="5"/>
      <c r="L175" s="5"/>
    </row>
    <row r="176" spans="2:12" ht="18" customHeight="1">
      <c r="B176" s="5"/>
      <c r="D176" s="5"/>
      <c r="F176" s="5"/>
      <c r="H176" s="5"/>
      <c r="J176" s="5"/>
      <c r="L176" s="5"/>
    </row>
    <row r="177" spans="2:12" ht="18" customHeight="1">
      <c r="B177" s="5"/>
      <c r="D177" s="5"/>
      <c r="F177" s="5"/>
      <c r="H177" s="5"/>
      <c r="J177" s="5"/>
      <c r="L177" s="5"/>
    </row>
    <row r="178" spans="2:12" ht="18" customHeight="1">
      <c r="B178" s="5"/>
      <c r="D178" s="5"/>
      <c r="F178" s="5"/>
      <c r="H178" s="5"/>
      <c r="J178" s="5"/>
      <c r="L178" s="5"/>
    </row>
    <row r="179" spans="2:12" ht="18" customHeight="1">
      <c r="B179" s="5"/>
      <c r="D179" s="5"/>
      <c r="F179" s="5"/>
      <c r="H179" s="5"/>
      <c r="J179" s="5"/>
      <c r="L179" s="5"/>
    </row>
    <row r="180" spans="2:12" ht="18" customHeight="1">
      <c r="B180" s="5"/>
      <c r="D180" s="5"/>
      <c r="F180" s="5"/>
      <c r="H180" s="5"/>
      <c r="J180" s="5"/>
      <c r="L180" s="5"/>
    </row>
    <row r="181" spans="2:12" ht="18" customHeight="1">
      <c r="B181" s="5"/>
      <c r="D181" s="5"/>
      <c r="F181" s="5"/>
      <c r="H181" s="5"/>
      <c r="J181" s="5"/>
      <c r="L181" s="5"/>
    </row>
    <row r="182" spans="2:12" ht="18" customHeight="1">
      <c r="B182" s="5"/>
      <c r="D182" s="5"/>
      <c r="F182" s="5"/>
      <c r="H182" s="5"/>
      <c r="J182" s="5"/>
      <c r="L182" s="5"/>
    </row>
    <row r="183" spans="2:12" ht="18" customHeight="1">
      <c r="B183" s="5"/>
      <c r="D183" s="5"/>
      <c r="F183" s="5"/>
      <c r="H183" s="5"/>
      <c r="J183" s="5"/>
      <c r="L183" s="5"/>
    </row>
    <row r="184" spans="2:12" ht="18" customHeight="1">
      <c r="B184" s="5"/>
      <c r="D184" s="5"/>
      <c r="F184" s="5"/>
      <c r="H184" s="5"/>
      <c r="J184" s="5"/>
      <c r="L184" s="5"/>
    </row>
    <row r="185" spans="2:12" ht="18" customHeight="1">
      <c r="B185" s="5"/>
      <c r="D185" s="5"/>
      <c r="F185" s="5"/>
      <c r="H185" s="5"/>
      <c r="J185" s="5"/>
      <c r="L185" s="5"/>
    </row>
    <row r="186" spans="2:12" ht="18" customHeight="1">
      <c r="B186" s="5"/>
      <c r="D186" s="5"/>
      <c r="F186" s="5"/>
      <c r="H186" s="5"/>
      <c r="J186" s="5"/>
      <c r="L186" s="5"/>
    </row>
    <row r="187" spans="2:12" ht="18" customHeight="1">
      <c r="B187" s="5"/>
      <c r="D187" s="5"/>
      <c r="F187" s="5"/>
      <c r="H187" s="5"/>
      <c r="J187" s="5"/>
      <c r="L187" s="5"/>
    </row>
    <row r="188" spans="2:12" ht="18" customHeight="1">
      <c r="B188" s="5"/>
      <c r="D188" s="5"/>
      <c r="F188" s="5"/>
      <c r="H188" s="5"/>
      <c r="J188" s="5"/>
      <c r="L188" s="5"/>
    </row>
    <row r="189" spans="2:12" ht="18" customHeight="1">
      <c r="B189" s="5"/>
      <c r="D189" s="5"/>
      <c r="F189" s="5"/>
      <c r="H189" s="5"/>
      <c r="J189" s="5"/>
      <c r="L189" s="5"/>
    </row>
    <row r="190" spans="2:12" ht="18" customHeight="1">
      <c r="B190" s="5"/>
      <c r="D190" s="5"/>
      <c r="F190" s="5"/>
      <c r="H190" s="5"/>
      <c r="J190" s="5"/>
      <c r="L190" s="5"/>
    </row>
    <row r="191" spans="2:12" ht="18" customHeight="1">
      <c r="B191" s="5"/>
      <c r="D191" s="5"/>
      <c r="F191" s="5"/>
      <c r="H191" s="5"/>
      <c r="J191" s="5"/>
      <c r="L191" s="5"/>
    </row>
    <row r="192" spans="2:12" ht="18" customHeight="1">
      <c r="B192" s="5"/>
      <c r="D192" s="5"/>
      <c r="F192" s="5"/>
      <c r="H192" s="5"/>
      <c r="J192" s="5"/>
      <c r="L192" s="5"/>
    </row>
    <row r="193" spans="2:12" ht="18" customHeight="1">
      <c r="B193" s="5"/>
      <c r="D193" s="5"/>
      <c r="F193" s="5"/>
      <c r="H193" s="5"/>
      <c r="J193" s="5"/>
      <c r="L193" s="5"/>
    </row>
    <row r="194" spans="2:12" ht="18" customHeight="1">
      <c r="B194" s="5"/>
      <c r="D194" s="5"/>
      <c r="F194" s="5"/>
      <c r="H194" s="5"/>
      <c r="J194" s="5"/>
      <c r="L194" s="5"/>
    </row>
    <row r="195" spans="2:12" ht="18" customHeight="1">
      <c r="B195" s="5"/>
      <c r="D195" s="5"/>
      <c r="F195" s="5"/>
      <c r="H195" s="5"/>
      <c r="J195" s="5"/>
      <c r="L195" s="5"/>
    </row>
    <row r="196" spans="2:12" ht="18" customHeight="1">
      <c r="B196" s="5"/>
      <c r="D196" s="5"/>
      <c r="F196" s="5"/>
      <c r="H196" s="5"/>
      <c r="J196" s="5"/>
      <c r="L196" s="5"/>
    </row>
    <row r="197" spans="2:12" ht="18" customHeight="1">
      <c r="B197" s="5"/>
      <c r="D197" s="5"/>
      <c r="F197" s="5"/>
      <c r="H197" s="5"/>
      <c r="J197" s="5"/>
      <c r="L197" s="5"/>
    </row>
    <row r="198" spans="2:12" ht="18" customHeight="1">
      <c r="B198" s="5"/>
      <c r="D198" s="5"/>
      <c r="F198" s="5"/>
      <c r="H198" s="5"/>
      <c r="J198" s="5"/>
      <c r="L198" s="5"/>
    </row>
    <row r="199" spans="2:12" ht="18" customHeight="1">
      <c r="B199" s="5"/>
      <c r="D199" s="5"/>
      <c r="F199" s="5"/>
      <c r="H199" s="5"/>
      <c r="J199" s="5"/>
      <c r="L199" s="5"/>
    </row>
    <row r="200" spans="2:12" ht="18" customHeight="1">
      <c r="B200" s="5"/>
      <c r="D200" s="5"/>
      <c r="F200" s="5"/>
      <c r="H200" s="5"/>
      <c r="J200" s="5"/>
      <c r="L200" s="5"/>
    </row>
    <row r="201" spans="2:12" ht="18" customHeight="1">
      <c r="B201" s="5"/>
      <c r="D201" s="5"/>
      <c r="F201" s="5"/>
      <c r="H201" s="5"/>
      <c r="J201" s="5"/>
      <c r="L201" s="5"/>
    </row>
    <row r="202" spans="2:12" ht="18" customHeight="1">
      <c r="B202" s="5"/>
      <c r="D202" s="5"/>
      <c r="F202" s="5"/>
      <c r="H202" s="5"/>
      <c r="J202" s="5"/>
      <c r="L202" s="5"/>
    </row>
    <row r="203" spans="2:12" ht="18" customHeight="1">
      <c r="B203" s="5"/>
      <c r="D203" s="5"/>
      <c r="F203" s="5"/>
      <c r="H203" s="5"/>
      <c r="J203" s="5"/>
      <c r="L203" s="5"/>
    </row>
    <row r="204" spans="2:12" ht="18" customHeight="1">
      <c r="B204" s="5"/>
      <c r="D204" s="5"/>
      <c r="F204" s="5"/>
      <c r="H204" s="5"/>
      <c r="J204" s="5"/>
      <c r="L204" s="5"/>
    </row>
    <row r="205" spans="2:12" ht="18" customHeight="1">
      <c r="B205" s="5"/>
      <c r="D205" s="5"/>
      <c r="F205" s="5"/>
      <c r="H205" s="5"/>
      <c r="J205" s="5"/>
      <c r="L205" s="5"/>
    </row>
    <row r="206" spans="2:12" ht="18" customHeight="1">
      <c r="B206" s="5"/>
      <c r="D206" s="5"/>
      <c r="F206" s="5"/>
      <c r="H206" s="5"/>
      <c r="J206" s="5"/>
      <c r="L206" s="5"/>
    </row>
    <row r="207" spans="2:12" ht="18" customHeight="1">
      <c r="B207" s="5"/>
      <c r="D207" s="5"/>
      <c r="F207" s="5"/>
      <c r="H207" s="5"/>
      <c r="J207" s="5"/>
      <c r="L207" s="5"/>
    </row>
    <row r="208" spans="2:12" ht="18" customHeight="1">
      <c r="B208" s="5"/>
      <c r="D208" s="5"/>
      <c r="F208" s="5"/>
      <c r="H208" s="5"/>
      <c r="J208" s="5"/>
      <c r="L208" s="5"/>
    </row>
    <row r="209" spans="2:12" ht="18" customHeight="1">
      <c r="B209" s="5"/>
      <c r="D209" s="5"/>
      <c r="F209" s="5"/>
      <c r="H209" s="5"/>
      <c r="J209" s="5"/>
      <c r="L209" s="5"/>
    </row>
    <row r="210" spans="2:12" ht="18" customHeight="1">
      <c r="B210" s="5"/>
      <c r="D210" s="5"/>
      <c r="F210" s="5"/>
      <c r="H210" s="5"/>
      <c r="J210" s="5"/>
      <c r="L210" s="5"/>
    </row>
    <row r="211" spans="2:12" ht="18" customHeight="1">
      <c r="B211" s="5"/>
      <c r="D211" s="5"/>
      <c r="F211" s="5"/>
      <c r="H211" s="5"/>
      <c r="J211" s="5"/>
      <c r="L211" s="5"/>
    </row>
    <row r="212" spans="2:12" ht="18" customHeight="1">
      <c r="B212" s="5"/>
      <c r="D212" s="5"/>
      <c r="F212" s="5"/>
      <c r="H212" s="5"/>
      <c r="J212" s="5"/>
      <c r="L212" s="5"/>
    </row>
    <row r="213" spans="2:12" ht="18" customHeight="1">
      <c r="B213" s="5"/>
      <c r="D213" s="5"/>
      <c r="F213" s="5"/>
      <c r="H213" s="5"/>
      <c r="J213" s="5"/>
      <c r="L213" s="5"/>
    </row>
    <row r="214" spans="2:12" ht="18" customHeight="1">
      <c r="B214" s="5"/>
      <c r="D214" s="5"/>
      <c r="F214" s="5"/>
      <c r="H214" s="5"/>
      <c r="J214" s="5"/>
      <c r="L214" s="5"/>
    </row>
    <row r="215" spans="2:12" ht="18" customHeight="1">
      <c r="B215" s="5"/>
      <c r="D215" s="5"/>
      <c r="F215" s="5"/>
      <c r="H215" s="5"/>
      <c r="J215" s="5"/>
      <c r="L215" s="5"/>
    </row>
    <row r="216" spans="2:12" ht="18" customHeight="1">
      <c r="B216" s="5"/>
      <c r="D216" s="5"/>
      <c r="F216" s="5"/>
      <c r="H216" s="5"/>
      <c r="J216" s="5"/>
      <c r="L216" s="5"/>
    </row>
    <row r="217" spans="2:12" ht="18" customHeight="1">
      <c r="B217" s="5"/>
      <c r="D217" s="5"/>
      <c r="F217" s="5"/>
      <c r="H217" s="5"/>
      <c r="J217" s="5"/>
      <c r="L217" s="5"/>
    </row>
    <row r="218" spans="2:12" ht="18" customHeight="1">
      <c r="B218" s="5"/>
      <c r="D218" s="5"/>
      <c r="F218" s="5"/>
      <c r="H218" s="5"/>
      <c r="J218" s="5"/>
      <c r="L218" s="5"/>
    </row>
    <row r="219" spans="2:12" ht="18" customHeight="1">
      <c r="B219" s="5"/>
      <c r="D219" s="5"/>
      <c r="F219" s="5"/>
      <c r="H219" s="5"/>
      <c r="J219" s="5"/>
      <c r="L219" s="5"/>
    </row>
    <row r="220" spans="2:12" ht="18" customHeight="1">
      <c r="B220" s="5"/>
      <c r="D220" s="5"/>
      <c r="F220" s="5"/>
      <c r="H220" s="5"/>
      <c r="J220" s="5"/>
      <c r="L220" s="5"/>
    </row>
    <row r="221" spans="2:12" ht="18" customHeight="1">
      <c r="B221" s="5"/>
      <c r="D221" s="5"/>
      <c r="F221" s="5"/>
      <c r="H221" s="5"/>
      <c r="J221" s="5"/>
      <c r="L221" s="5"/>
    </row>
    <row r="222" spans="2:12" ht="18" customHeight="1">
      <c r="B222" s="5"/>
      <c r="D222" s="5"/>
      <c r="F222" s="5"/>
      <c r="H222" s="5"/>
      <c r="J222" s="5"/>
      <c r="L222" s="5"/>
    </row>
    <row r="223" spans="2:12" ht="18" customHeight="1">
      <c r="B223" s="5"/>
      <c r="D223" s="5"/>
      <c r="F223" s="5"/>
      <c r="H223" s="5"/>
      <c r="J223" s="5"/>
      <c r="L223" s="5"/>
    </row>
    <row r="224" spans="2:12" ht="18" customHeight="1">
      <c r="B224" s="5"/>
      <c r="D224" s="5"/>
      <c r="F224" s="5"/>
      <c r="H224" s="5"/>
      <c r="J224" s="5"/>
      <c r="L224" s="5"/>
    </row>
    <row r="225" spans="2:12" ht="18" customHeight="1">
      <c r="B225" s="5"/>
      <c r="D225" s="5"/>
      <c r="F225" s="5"/>
      <c r="H225" s="5"/>
      <c r="J225" s="5"/>
      <c r="L225" s="5"/>
    </row>
    <row r="226" spans="2:12" ht="18" customHeight="1">
      <c r="B226" s="5"/>
      <c r="D226" s="5"/>
      <c r="F226" s="5"/>
      <c r="H226" s="5"/>
      <c r="J226" s="5"/>
      <c r="L226" s="5"/>
    </row>
    <row r="227" spans="2:12" ht="18" customHeight="1">
      <c r="B227" s="5"/>
      <c r="D227" s="5"/>
      <c r="F227" s="5"/>
      <c r="H227" s="5"/>
      <c r="J227" s="5"/>
      <c r="L227" s="5"/>
    </row>
    <row r="228" spans="2:12" ht="18" customHeight="1">
      <c r="B228" s="5"/>
      <c r="D228" s="5"/>
      <c r="F228" s="5"/>
      <c r="H228" s="5"/>
      <c r="J228" s="5"/>
      <c r="L228" s="5"/>
    </row>
    <row r="229" spans="2:12" ht="18" customHeight="1">
      <c r="B229" s="5"/>
      <c r="D229" s="5"/>
      <c r="F229" s="5"/>
      <c r="H229" s="5"/>
      <c r="J229" s="5"/>
      <c r="L229" s="5"/>
    </row>
    <row r="230" spans="2:12" ht="18" customHeight="1">
      <c r="B230" s="5"/>
      <c r="D230" s="5"/>
      <c r="F230" s="5"/>
      <c r="H230" s="5"/>
      <c r="J230" s="5"/>
      <c r="L230" s="5"/>
    </row>
    <row r="231" spans="2:12" ht="18" customHeight="1">
      <c r="B231" s="5"/>
      <c r="D231" s="5"/>
      <c r="F231" s="5"/>
      <c r="H231" s="5"/>
      <c r="J231" s="5"/>
      <c r="L231" s="5"/>
    </row>
    <row r="232" spans="2:12" ht="18" customHeight="1">
      <c r="B232" s="5"/>
      <c r="D232" s="5"/>
      <c r="F232" s="5"/>
      <c r="H232" s="5"/>
      <c r="J232" s="5"/>
      <c r="L232" s="5"/>
    </row>
    <row r="233" spans="2:12" ht="18" customHeight="1">
      <c r="B233" s="5"/>
      <c r="D233" s="5"/>
      <c r="F233" s="5"/>
      <c r="H233" s="5"/>
      <c r="J233" s="5"/>
      <c r="L233" s="5"/>
    </row>
    <row r="234" spans="2:12" ht="18" customHeight="1">
      <c r="B234" s="5"/>
      <c r="D234" s="5"/>
      <c r="F234" s="5"/>
      <c r="H234" s="5"/>
      <c r="J234" s="5"/>
      <c r="L234" s="5"/>
    </row>
    <row r="235" spans="2:12" ht="18" customHeight="1">
      <c r="B235" s="5"/>
      <c r="D235" s="5"/>
      <c r="F235" s="5"/>
      <c r="H235" s="5"/>
      <c r="J235" s="5"/>
      <c r="L235" s="5"/>
    </row>
    <row r="236" spans="2:12" ht="18" customHeight="1">
      <c r="B236" s="5"/>
      <c r="D236" s="5"/>
      <c r="F236" s="5"/>
      <c r="H236" s="5"/>
      <c r="J236" s="5"/>
      <c r="L236" s="5"/>
    </row>
    <row r="237" spans="2:12" ht="18" customHeight="1">
      <c r="B237" s="5"/>
      <c r="D237" s="5"/>
      <c r="F237" s="5"/>
      <c r="H237" s="5"/>
      <c r="J237" s="5"/>
      <c r="L237" s="5"/>
    </row>
    <row r="238" spans="2:12" ht="18" customHeight="1">
      <c r="B238" s="5"/>
      <c r="D238" s="5"/>
      <c r="F238" s="5"/>
      <c r="H238" s="5"/>
      <c r="J238" s="5"/>
      <c r="L238" s="5"/>
    </row>
    <row r="239" spans="2:12" ht="18" customHeight="1">
      <c r="B239" s="5"/>
      <c r="D239" s="5"/>
      <c r="F239" s="5"/>
      <c r="H239" s="5"/>
      <c r="J239" s="5"/>
      <c r="L239" s="5"/>
    </row>
    <row r="240" spans="2:12" ht="18" customHeight="1">
      <c r="B240" s="5"/>
      <c r="D240" s="5"/>
      <c r="F240" s="5"/>
      <c r="H240" s="5"/>
      <c r="J240" s="5"/>
      <c r="L240" s="5"/>
    </row>
    <row r="241" spans="2:12" ht="18" customHeight="1">
      <c r="B241" s="5"/>
      <c r="D241" s="5"/>
      <c r="F241" s="5"/>
      <c r="H241" s="5"/>
      <c r="J241" s="5"/>
      <c r="L241" s="5"/>
    </row>
    <row r="242" spans="2:12" ht="18" customHeight="1">
      <c r="B242" s="5"/>
      <c r="D242" s="5"/>
      <c r="F242" s="5"/>
      <c r="H242" s="5"/>
      <c r="J242" s="5"/>
      <c r="L242" s="5"/>
    </row>
    <row r="243" spans="2:12" ht="18" customHeight="1">
      <c r="B243" s="5"/>
      <c r="D243" s="5"/>
      <c r="F243" s="5"/>
      <c r="H243" s="5"/>
      <c r="J243" s="5"/>
      <c r="L243" s="5"/>
    </row>
    <row r="244" spans="2:12" ht="18" customHeight="1">
      <c r="B244" s="5"/>
      <c r="D244" s="5"/>
      <c r="F244" s="5"/>
      <c r="H244" s="5"/>
      <c r="J244" s="5"/>
      <c r="L244" s="5"/>
    </row>
    <row r="245" spans="2:12" ht="18" customHeight="1">
      <c r="B245" s="5"/>
      <c r="D245" s="5"/>
      <c r="F245" s="5"/>
      <c r="H245" s="5"/>
      <c r="J245" s="5"/>
      <c r="L245" s="5"/>
    </row>
    <row r="246" spans="2:12" ht="18" customHeight="1">
      <c r="B246" s="5"/>
      <c r="D246" s="5"/>
      <c r="F246" s="5"/>
      <c r="H246" s="5"/>
      <c r="J246" s="5"/>
      <c r="L246" s="5"/>
    </row>
    <row r="247" spans="2:12" ht="18" customHeight="1">
      <c r="B247" s="5"/>
      <c r="D247" s="5"/>
      <c r="F247" s="5"/>
      <c r="H247" s="5"/>
      <c r="J247" s="5"/>
      <c r="L247" s="5"/>
    </row>
    <row r="248" spans="2:12" ht="18" customHeight="1">
      <c r="B248" s="5"/>
      <c r="D248" s="5"/>
      <c r="F248" s="5"/>
      <c r="H248" s="5"/>
      <c r="J248" s="5"/>
      <c r="L248" s="5"/>
    </row>
    <row r="249" spans="2:12" ht="18" customHeight="1">
      <c r="B249" s="5"/>
      <c r="D249" s="5"/>
      <c r="F249" s="5"/>
      <c r="H249" s="5"/>
      <c r="J249" s="5"/>
      <c r="L249" s="5"/>
    </row>
    <row r="250" spans="2:12" ht="18" customHeight="1">
      <c r="B250" s="5"/>
      <c r="D250" s="5"/>
      <c r="F250" s="5"/>
      <c r="H250" s="5"/>
      <c r="J250" s="5"/>
      <c r="L250" s="5"/>
    </row>
    <row r="251" spans="2:12" ht="18" customHeight="1">
      <c r="B251" s="5"/>
      <c r="D251" s="5"/>
      <c r="F251" s="5"/>
      <c r="H251" s="5"/>
      <c r="J251" s="5"/>
      <c r="L251" s="5"/>
    </row>
    <row r="252" spans="2:12" ht="18" customHeight="1">
      <c r="B252" s="5"/>
      <c r="D252" s="5"/>
      <c r="F252" s="5"/>
      <c r="H252" s="5"/>
      <c r="J252" s="5"/>
      <c r="L252" s="5"/>
    </row>
    <row r="253" spans="2:12" ht="18" customHeight="1">
      <c r="B253" s="5"/>
      <c r="D253" s="5"/>
      <c r="F253" s="5"/>
      <c r="H253" s="5"/>
      <c r="J253" s="5"/>
      <c r="L253" s="5"/>
    </row>
    <row r="254" spans="2:12" ht="18" customHeight="1">
      <c r="B254" s="5"/>
      <c r="D254" s="5"/>
      <c r="F254" s="5"/>
      <c r="H254" s="5"/>
      <c r="J254" s="5"/>
      <c r="L254" s="5"/>
    </row>
    <row r="255" spans="2:12" ht="18" customHeight="1">
      <c r="B255" s="5"/>
      <c r="D255" s="5"/>
      <c r="F255" s="5"/>
      <c r="H255" s="5"/>
      <c r="J255" s="5"/>
      <c r="L255" s="5"/>
    </row>
    <row r="256" spans="2:12" ht="18" customHeight="1">
      <c r="B256" s="5"/>
      <c r="D256" s="5"/>
      <c r="F256" s="5"/>
      <c r="H256" s="5"/>
      <c r="J256" s="5"/>
      <c r="L256" s="5"/>
    </row>
    <row r="257" spans="2:12" ht="18" customHeight="1">
      <c r="B257" s="5"/>
      <c r="D257" s="5"/>
      <c r="F257" s="5"/>
      <c r="H257" s="5"/>
      <c r="J257" s="5"/>
      <c r="L257" s="5"/>
    </row>
    <row r="258" spans="2:12" ht="18" customHeight="1">
      <c r="B258" s="5"/>
      <c r="D258" s="5"/>
      <c r="F258" s="5"/>
      <c r="H258" s="5"/>
      <c r="J258" s="5"/>
      <c r="L258" s="5"/>
    </row>
    <row r="259" spans="2:12" ht="18" customHeight="1">
      <c r="B259" s="5"/>
      <c r="D259" s="5"/>
      <c r="F259" s="5"/>
      <c r="H259" s="5"/>
      <c r="J259" s="5"/>
      <c r="L259" s="5"/>
    </row>
    <row r="260" spans="2:12" ht="18" customHeight="1">
      <c r="B260" s="5"/>
      <c r="D260" s="5"/>
      <c r="F260" s="5"/>
      <c r="H260" s="5"/>
      <c r="J260" s="5"/>
      <c r="L260" s="5"/>
    </row>
    <row r="261" spans="2:12" ht="18" customHeight="1">
      <c r="B261" s="5"/>
      <c r="D261" s="5"/>
      <c r="F261" s="5"/>
      <c r="H261" s="5"/>
      <c r="J261" s="5"/>
      <c r="L261" s="5"/>
    </row>
    <row r="262" spans="2:12" ht="18" customHeight="1">
      <c r="B262" s="5"/>
      <c r="D262" s="5"/>
      <c r="F262" s="5"/>
      <c r="H262" s="5"/>
      <c r="J262" s="5"/>
      <c r="L262" s="5"/>
    </row>
    <row r="263" spans="2:12" ht="18" customHeight="1">
      <c r="B263" s="5"/>
      <c r="D263" s="5"/>
      <c r="F263" s="5"/>
      <c r="H263" s="5"/>
      <c r="J263" s="5"/>
      <c r="L263" s="5"/>
    </row>
    <row r="264" spans="2:12" ht="18" customHeight="1">
      <c r="B264" s="5"/>
      <c r="D264" s="5"/>
      <c r="F264" s="5"/>
      <c r="H264" s="5"/>
      <c r="J264" s="5"/>
      <c r="L264" s="5"/>
    </row>
    <row r="265" spans="2:12" ht="18" customHeight="1">
      <c r="B265" s="5"/>
      <c r="D265" s="5"/>
      <c r="F265" s="5"/>
      <c r="H265" s="5"/>
      <c r="J265" s="5"/>
      <c r="L265" s="5"/>
    </row>
    <row r="266" spans="2:12" ht="18" customHeight="1">
      <c r="B266" s="5"/>
      <c r="D266" s="5"/>
      <c r="F266" s="5"/>
      <c r="H266" s="5"/>
      <c r="J266" s="5"/>
      <c r="L266" s="5"/>
    </row>
    <row r="267" spans="2:12" ht="18" customHeight="1">
      <c r="B267" s="5"/>
      <c r="D267" s="5"/>
      <c r="F267" s="5"/>
      <c r="H267" s="5"/>
      <c r="J267" s="5"/>
      <c r="L267" s="5"/>
    </row>
    <row r="268" spans="2:12" ht="18" customHeight="1">
      <c r="B268" s="5"/>
      <c r="D268" s="5"/>
      <c r="F268" s="5"/>
      <c r="H268" s="5"/>
      <c r="J268" s="5"/>
      <c r="L268" s="5"/>
    </row>
    <row r="269" spans="2:12" ht="18" customHeight="1">
      <c r="B269" s="5"/>
      <c r="D269" s="5"/>
      <c r="F269" s="5"/>
      <c r="H269" s="5"/>
      <c r="J269" s="5"/>
      <c r="L269" s="5"/>
    </row>
    <row r="270" spans="2:12" ht="18" customHeight="1">
      <c r="B270" s="5"/>
      <c r="D270" s="5"/>
      <c r="F270" s="5"/>
      <c r="H270" s="5"/>
      <c r="J270" s="5"/>
      <c r="L270" s="5"/>
    </row>
    <row r="271" spans="2:12" ht="18" customHeight="1">
      <c r="B271" s="5"/>
      <c r="D271" s="5"/>
      <c r="F271" s="5"/>
      <c r="H271" s="5"/>
      <c r="J271" s="5"/>
      <c r="L271" s="5"/>
    </row>
    <row r="272" spans="2:12" ht="18" customHeight="1">
      <c r="B272" s="5"/>
      <c r="D272" s="5"/>
      <c r="F272" s="5"/>
      <c r="H272" s="5"/>
      <c r="J272" s="5"/>
      <c r="L272" s="5"/>
    </row>
    <row r="273" spans="2:12" ht="18" customHeight="1">
      <c r="B273" s="5"/>
      <c r="D273" s="5"/>
      <c r="F273" s="5"/>
      <c r="H273" s="5"/>
      <c r="J273" s="5"/>
      <c r="L273" s="5"/>
    </row>
    <row r="274" spans="2:12" ht="18" customHeight="1">
      <c r="B274" s="5"/>
      <c r="D274" s="5"/>
      <c r="F274" s="5"/>
      <c r="H274" s="5"/>
      <c r="J274" s="5"/>
      <c r="L274" s="5"/>
    </row>
    <row r="275" spans="2:12" ht="18" customHeight="1">
      <c r="B275" s="5"/>
      <c r="D275" s="5"/>
      <c r="F275" s="5"/>
      <c r="H275" s="5"/>
      <c r="J275" s="5"/>
      <c r="L275" s="5"/>
    </row>
    <row r="276" spans="2:12" ht="18" customHeight="1">
      <c r="B276" s="5"/>
      <c r="D276" s="5"/>
      <c r="F276" s="5"/>
      <c r="H276" s="5"/>
      <c r="J276" s="5"/>
      <c r="L276" s="5"/>
    </row>
    <row r="277" spans="2:12" ht="18" customHeight="1">
      <c r="B277" s="5"/>
      <c r="D277" s="5"/>
      <c r="F277" s="5"/>
      <c r="H277" s="5"/>
      <c r="J277" s="5"/>
      <c r="L277" s="5"/>
    </row>
    <row r="278" spans="2:12" ht="18" customHeight="1">
      <c r="B278" s="5"/>
      <c r="D278" s="5"/>
      <c r="F278" s="5"/>
      <c r="H278" s="5"/>
      <c r="J278" s="5"/>
      <c r="L278" s="5"/>
    </row>
    <row r="279" spans="2:12" ht="18" customHeight="1">
      <c r="B279" s="5"/>
      <c r="D279" s="5"/>
      <c r="F279" s="5"/>
      <c r="H279" s="5"/>
      <c r="J279" s="5"/>
      <c r="L279" s="5"/>
    </row>
    <row r="280" spans="2:12" ht="18" customHeight="1">
      <c r="B280" s="5"/>
      <c r="D280" s="5"/>
      <c r="F280" s="5"/>
      <c r="H280" s="5"/>
      <c r="J280" s="5"/>
      <c r="L280" s="5"/>
    </row>
    <row r="281" spans="2:12" ht="18" customHeight="1">
      <c r="B281" s="5"/>
      <c r="D281" s="5"/>
      <c r="F281" s="5"/>
      <c r="H281" s="5"/>
      <c r="J281" s="5"/>
      <c r="L281" s="5"/>
    </row>
    <row r="282" spans="2:12" ht="18" customHeight="1">
      <c r="B282" s="5"/>
      <c r="D282" s="5"/>
      <c r="F282" s="5"/>
      <c r="H282" s="5"/>
      <c r="J282" s="5"/>
      <c r="L282" s="5"/>
    </row>
    <row r="283" spans="2:12" ht="18" customHeight="1">
      <c r="B283" s="5"/>
      <c r="D283" s="5"/>
      <c r="F283" s="5"/>
      <c r="H283" s="5"/>
      <c r="J283" s="5"/>
      <c r="L283" s="5"/>
    </row>
    <row r="284" spans="2:12" ht="18" customHeight="1">
      <c r="B284" s="5"/>
      <c r="D284" s="5"/>
      <c r="F284" s="5"/>
      <c r="H284" s="5"/>
      <c r="J284" s="5"/>
      <c r="L284" s="5"/>
    </row>
    <row r="285" spans="2:12" ht="18" customHeight="1">
      <c r="B285" s="5"/>
      <c r="D285" s="5"/>
      <c r="F285" s="5"/>
      <c r="H285" s="5"/>
      <c r="J285" s="5"/>
      <c r="L285" s="5"/>
    </row>
    <row r="286" spans="2:12" ht="18" customHeight="1">
      <c r="B286" s="5"/>
      <c r="D286" s="5"/>
      <c r="F286" s="5"/>
      <c r="H286" s="5"/>
      <c r="J286" s="5"/>
      <c r="L286" s="5"/>
    </row>
    <row r="287" spans="2:12" ht="18" customHeight="1">
      <c r="B287" s="5"/>
      <c r="D287" s="5"/>
      <c r="F287" s="5"/>
      <c r="H287" s="5"/>
      <c r="J287" s="5"/>
      <c r="L287" s="5"/>
    </row>
    <row r="288" spans="2:12" ht="18" customHeight="1">
      <c r="B288" s="5"/>
      <c r="D288" s="5"/>
      <c r="F288" s="5"/>
      <c r="H288" s="5"/>
      <c r="J288" s="5"/>
      <c r="L288" s="5"/>
    </row>
    <row r="289" spans="2:12" ht="18" customHeight="1">
      <c r="B289" s="5"/>
      <c r="D289" s="5"/>
      <c r="F289" s="5"/>
      <c r="H289" s="5"/>
      <c r="J289" s="5"/>
      <c r="L289" s="5"/>
    </row>
    <row r="290" spans="2:12" ht="18" customHeight="1">
      <c r="B290" s="5"/>
      <c r="D290" s="5"/>
      <c r="F290" s="5"/>
      <c r="H290" s="5"/>
      <c r="J290" s="5"/>
      <c r="L290" s="5"/>
    </row>
    <row r="291" spans="2:12" ht="18" customHeight="1">
      <c r="B291" s="5"/>
      <c r="D291" s="5"/>
      <c r="F291" s="5"/>
      <c r="H291" s="5"/>
      <c r="J291" s="5"/>
      <c r="L291" s="5"/>
    </row>
    <row r="292" spans="2:12" ht="18" customHeight="1">
      <c r="B292" s="5"/>
      <c r="D292" s="5"/>
      <c r="F292" s="5"/>
      <c r="H292" s="5"/>
      <c r="J292" s="5"/>
      <c r="L292" s="5"/>
    </row>
    <row r="293" spans="2:12" ht="18" customHeight="1">
      <c r="B293" s="5"/>
      <c r="D293" s="5"/>
      <c r="F293" s="5"/>
      <c r="H293" s="5"/>
      <c r="J293" s="5"/>
      <c r="L293" s="5"/>
    </row>
    <row r="294" spans="2:12" ht="18" customHeight="1">
      <c r="B294" s="5"/>
      <c r="D294" s="5"/>
      <c r="F294" s="5"/>
      <c r="H294" s="5"/>
      <c r="J294" s="5"/>
      <c r="L294" s="5"/>
    </row>
    <row r="295" spans="2:12" ht="18" customHeight="1">
      <c r="B295" s="5"/>
      <c r="D295" s="5"/>
      <c r="F295" s="5"/>
      <c r="H295" s="5"/>
      <c r="J295" s="5"/>
      <c r="L295" s="5"/>
    </row>
    <row r="296" spans="2:12" ht="18" customHeight="1">
      <c r="B296" s="5"/>
      <c r="D296" s="5"/>
      <c r="F296" s="5"/>
      <c r="H296" s="5"/>
      <c r="J296" s="5"/>
      <c r="L296" s="5"/>
    </row>
    <row r="297" spans="2:12" ht="18" customHeight="1">
      <c r="B297" s="5"/>
      <c r="D297" s="5"/>
      <c r="F297" s="5"/>
      <c r="H297" s="5"/>
      <c r="J297" s="5"/>
      <c r="L297" s="5"/>
    </row>
    <row r="298" spans="2:12" ht="18" customHeight="1">
      <c r="B298" s="5"/>
      <c r="D298" s="5"/>
      <c r="F298" s="5"/>
      <c r="H298" s="5"/>
      <c r="J298" s="5"/>
      <c r="L298" s="5"/>
    </row>
    <row r="299" spans="2:12" ht="18" customHeight="1">
      <c r="B299" s="5"/>
      <c r="D299" s="5"/>
      <c r="F299" s="5"/>
      <c r="H299" s="5"/>
      <c r="J299" s="5"/>
      <c r="L299" s="5"/>
    </row>
    <row r="300" spans="2:12" ht="18" customHeight="1">
      <c r="B300" s="5"/>
      <c r="D300" s="5"/>
      <c r="F300" s="5"/>
      <c r="H300" s="5"/>
      <c r="J300" s="5"/>
      <c r="L300" s="5"/>
    </row>
    <row r="301" spans="2:12" ht="18" customHeight="1">
      <c r="B301" s="5"/>
      <c r="D301" s="5"/>
      <c r="F301" s="5"/>
      <c r="H301" s="5"/>
      <c r="J301" s="5"/>
      <c r="L301" s="5"/>
    </row>
    <row r="302" spans="2:12" ht="18" customHeight="1">
      <c r="B302" s="5"/>
      <c r="D302" s="5"/>
      <c r="F302" s="5"/>
      <c r="H302" s="5"/>
      <c r="J302" s="5"/>
      <c r="L302" s="5"/>
    </row>
    <row r="303" spans="2:12" ht="18" customHeight="1">
      <c r="B303" s="5"/>
      <c r="D303" s="5"/>
      <c r="F303" s="5"/>
      <c r="H303" s="5"/>
      <c r="J303" s="5"/>
      <c r="L303" s="5"/>
    </row>
    <row r="304" spans="2:12" ht="18" customHeight="1">
      <c r="B304" s="5"/>
      <c r="D304" s="5"/>
      <c r="F304" s="5"/>
      <c r="H304" s="5"/>
      <c r="J304" s="5"/>
      <c r="L304" s="5"/>
    </row>
    <row r="305" spans="2:12" ht="18" customHeight="1">
      <c r="B305" s="5"/>
      <c r="D305" s="5"/>
      <c r="F305" s="5"/>
      <c r="H305" s="5"/>
      <c r="J305" s="5"/>
      <c r="L305" s="5"/>
    </row>
    <row r="306" spans="2:12" ht="18" customHeight="1">
      <c r="B306" s="5"/>
      <c r="D306" s="5"/>
      <c r="F306" s="5"/>
      <c r="H306" s="5"/>
      <c r="J306" s="5"/>
      <c r="L306" s="5"/>
    </row>
    <row r="307" spans="2:12" ht="18" customHeight="1">
      <c r="B307" s="5"/>
      <c r="D307" s="5"/>
      <c r="F307" s="5"/>
      <c r="H307" s="5"/>
      <c r="J307" s="5"/>
      <c r="L307" s="5"/>
    </row>
    <row r="308" spans="2:12" ht="18" customHeight="1">
      <c r="B308" s="5"/>
      <c r="D308" s="5"/>
      <c r="F308" s="5"/>
      <c r="H308" s="5"/>
      <c r="J308" s="5"/>
      <c r="L308" s="5"/>
    </row>
    <row r="309" spans="2:12" ht="18" customHeight="1">
      <c r="B309" s="5"/>
      <c r="D309" s="5"/>
      <c r="F309" s="5"/>
      <c r="H309" s="5"/>
      <c r="J309" s="5"/>
      <c r="L309" s="5"/>
    </row>
    <row r="310" spans="2:12" ht="18" customHeight="1">
      <c r="B310" s="5"/>
      <c r="D310" s="5"/>
      <c r="F310" s="5"/>
      <c r="H310" s="5"/>
      <c r="J310" s="5"/>
      <c r="L310" s="5"/>
    </row>
    <row r="311" spans="2:12" ht="18" customHeight="1">
      <c r="B311" s="5"/>
      <c r="D311" s="5"/>
      <c r="F311" s="5"/>
      <c r="H311" s="5"/>
      <c r="J311" s="5"/>
      <c r="L311" s="5"/>
    </row>
    <row r="312" spans="2:12" ht="18" customHeight="1">
      <c r="B312" s="5"/>
      <c r="D312" s="5"/>
      <c r="F312" s="5"/>
      <c r="H312" s="5"/>
      <c r="J312" s="5"/>
      <c r="L312" s="5"/>
    </row>
    <row r="313" spans="2:12" ht="18" customHeight="1">
      <c r="B313" s="5"/>
      <c r="D313" s="5"/>
      <c r="F313" s="5"/>
      <c r="H313" s="5"/>
      <c r="J313" s="5"/>
      <c r="L313" s="5"/>
    </row>
    <row r="314" spans="2:12" ht="18" customHeight="1">
      <c r="B314" s="5"/>
      <c r="D314" s="5"/>
      <c r="F314" s="5"/>
      <c r="H314" s="5"/>
      <c r="J314" s="5"/>
      <c r="L314" s="5"/>
    </row>
    <row r="315" spans="2:12" ht="18" customHeight="1">
      <c r="B315" s="5"/>
      <c r="D315" s="5"/>
      <c r="F315" s="5"/>
      <c r="H315" s="5"/>
      <c r="J315" s="5"/>
      <c r="L315" s="5"/>
    </row>
    <row r="316" spans="2:12" ht="18" customHeight="1">
      <c r="B316" s="5"/>
      <c r="D316" s="5"/>
      <c r="F316" s="5"/>
      <c r="H316" s="5"/>
      <c r="J316" s="5"/>
      <c r="L316" s="5"/>
    </row>
    <row r="317" spans="2:12" ht="18" customHeight="1">
      <c r="B317" s="5"/>
      <c r="D317" s="5"/>
      <c r="F317" s="5"/>
      <c r="H317" s="5"/>
      <c r="J317" s="5"/>
      <c r="L317" s="5"/>
    </row>
    <row r="318" spans="2:12" ht="18" customHeight="1">
      <c r="B318" s="5"/>
      <c r="D318" s="5"/>
      <c r="F318" s="5"/>
      <c r="H318" s="5"/>
      <c r="J318" s="5"/>
      <c r="L318" s="5"/>
    </row>
    <row r="319" spans="2:12" ht="18" customHeight="1">
      <c r="B319" s="5"/>
      <c r="D319" s="5"/>
      <c r="F319" s="5"/>
      <c r="H319" s="5"/>
      <c r="J319" s="5"/>
      <c r="L319" s="5"/>
    </row>
    <row r="320" spans="2:12" ht="18" customHeight="1">
      <c r="B320" s="5"/>
      <c r="D320" s="5"/>
      <c r="F320" s="5"/>
      <c r="H320" s="5"/>
      <c r="J320" s="5"/>
      <c r="L320" s="5"/>
    </row>
    <row r="321" spans="2:12" ht="18" customHeight="1">
      <c r="B321" s="5"/>
      <c r="D321" s="5"/>
      <c r="F321" s="5"/>
      <c r="H321" s="5"/>
      <c r="J321" s="5"/>
      <c r="L321" s="5"/>
    </row>
    <row r="322" spans="2:12" ht="18" customHeight="1">
      <c r="B322" s="5"/>
      <c r="D322" s="5"/>
      <c r="F322" s="5"/>
      <c r="H322" s="5"/>
      <c r="J322" s="5"/>
      <c r="L322" s="5"/>
    </row>
    <row r="323" spans="2:12" ht="18" customHeight="1">
      <c r="B323" s="5"/>
      <c r="D323" s="5"/>
      <c r="F323" s="5"/>
      <c r="H323" s="5"/>
      <c r="J323" s="5"/>
      <c r="L323" s="5"/>
    </row>
    <row r="324" spans="2:12" ht="18" customHeight="1">
      <c r="B324" s="5"/>
      <c r="D324" s="5"/>
      <c r="F324" s="5"/>
      <c r="H324" s="5"/>
      <c r="J324" s="5"/>
      <c r="L324" s="5"/>
    </row>
    <row r="325" spans="2:12" ht="18" customHeight="1">
      <c r="B325" s="5"/>
      <c r="D325" s="5"/>
      <c r="F325" s="5"/>
      <c r="H325" s="5"/>
      <c r="J325" s="5"/>
      <c r="L325" s="5"/>
    </row>
    <row r="326" spans="2:12" ht="18" customHeight="1">
      <c r="B326" s="5"/>
      <c r="D326" s="5"/>
      <c r="F326" s="5"/>
      <c r="H326" s="5"/>
      <c r="J326" s="5"/>
      <c r="L326" s="5"/>
    </row>
    <row r="327" spans="2:12" ht="18" customHeight="1">
      <c r="B327" s="5"/>
      <c r="D327" s="5"/>
      <c r="F327" s="5"/>
      <c r="H327" s="5"/>
      <c r="J327" s="5"/>
      <c r="L327" s="5"/>
    </row>
    <row r="328" spans="2:12" ht="18" customHeight="1">
      <c r="B328" s="5"/>
      <c r="D328" s="5"/>
      <c r="F328" s="5"/>
      <c r="H328" s="5"/>
      <c r="J328" s="5"/>
      <c r="L328" s="5"/>
    </row>
    <row r="329" spans="2:12" ht="18" customHeight="1">
      <c r="B329" s="5"/>
      <c r="D329" s="5"/>
      <c r="F329" s="5"/>
      <c r="H329" s="5"/>
      <c r="J329" s="5"/>
      <c r="L329" s="5"/>
    </row>
    <row r="330" spans="2:12" ht="18" customHeight="1">
      <c r="B330" s="5"/>
      <c r="D330" s="5"/>
      <c r="F330" s="5"/>
      <c r="H330" s="5"/>
      <c r="J330" s="5"/>
      <c r="L330" s="5"/>
    </row>
    <row r="331" spans="2:12" ht="18" customHeight="1">
      <c r="B331" s="5"/>
      <c r="D331" s="5"/>
      <c r="F331" s="5"/>
      <c r="H331" s="5"/>
      <c r="J331" s="5"/>
      <c r="L331" s="5"/>
    </row>
    <row r="332" spans="2:12" ht="18" customHeight="1">
      <c r="B332" s="5"/>
      <c r="D332" s="5"/>
      <c r="F332" s="5"/>
      <c r="H332" s="5"/>
      <c r="J332" s="5"/>
      <c r="L332" s="5"/>
    </row>
    <row r="333" spans="2:12" ht="18" customHeight="1">
      <c r="B333" s="5"/>
      <c r="D333" s="5"/>
      <c r="F333" s="5"/>
      <c r="H333" s="5"/>
      <c r="J333" s="5"/>
      <c r="L333" s="5"/>
    </row>
    <row r="334" spans="2:12" ht="18" customHeight="1">
      <c r="B334" s="5"/>
      <c r="D334" s="5"/>
      <c r="F334" s="5"/>
      <c r="H334" s="5"/>
      <c r="J334" s="5"/>
      <c r="L334" s="5"/>
    </row>
    <row r="335" spans="2:12" ht="18" customHeight="1">
      <c r="B335" s="5"/>
      <c r="D335" s="5"/>
      <c r="F335" s="5"/>
      <c r="H335" s="5"/>
      <c r="J335" s="5"/>
      <c r="L335" s="5"/>
    </row>
    <row r="336" spans="2:12" ht="18" customHeight="1">
      <c r="B336" s="5"/>
      <c r="D336" s="5"/>
      <c r="F336" s="5"/>
      <c r="H336" s="5"/>
      <c r="J336" s="5"/>
      <c r="L336" s="5"/>
    </row>
    <row r="337" spans="2:12" ht="18" customHeight="1">
      <c r="B337" s="5"/>
      <c r="D337" s="5"/>
      <c r="F337" s="5"/>
      <c r="H337" s="5"/>
      <c r="J337" s="5"/>
      <c r="L337" s="5"/>
    </row>
    <row r="338" spans="2:12" ht="18" customHeight="1">
      <c r="B338" s="5"/>
      <c r="D338" s="5"/>
      <c r="F338" s="5"/>
      <c r="H338" s="5"/>
      <c r="J338" s="5"/>
      <c r="L338" s="5"/>
    </row>
    <row r="339" spans="2:12" ht="18" customHeight="1">
      <c r="B339" s="5"/>
      <c r="D339" s="5"/>
      <c r="F339" s="5"/>
      <c r="H339" s="5"/>
      <c r="J339" s="5"/>
      <c r="L339" s="5"/>
    </row>
    <row r="340" spans="2:12" ht="18" customHeight="1">
      <c r="B340" s="5"/>
      <c r="D340" s="5"/>
      <c r="F340" s="5"/>
      <c r="H340" s="5"/>
      <c r="J340" s="5"/>
      <c r="L340" s="5"/>
    </row>
    <row r="341" spans="2:12" ht="18" customHeight="1">
      <c r="B341" s="5"/>
      <c r="D341" s="5"/>
      <c r="F341" s="5"/>
      <c r="H341" s="5"/>
      <c r="J341" s="5"/>
      <c r="L341" s="5"/>
    </row>
    <row r="342" spans="2:12" ht="18" customHeight="1">
      <c r="B342" s="5"/>
      <c r="D342" s="5"/>
      <c r="F342" s="5"/>
      <c r="H342" s="5"/>
      <c r="J342" s="5"/>
      <c r="L342" s="5"/>
    </row>
    <row r="343" spans="2:12" ht="18" customHeight="1">
      <c r="B343" s="5"/>
      <c r="D343" s="5"/>
      <c r="F343" s="5"/>
      <c r="H343" s="5"/>
      <c r="J343" s="5"/>
      <c r="L343" s="5"/>
    </row>
    <row r="344" spans="2:12" ht="18" customHeight="1">
      <c r="B344" s="5"/>
      <c r="D344" s="5"/>
      <c r="F344" s="5"/>
      <c r="H344" s="5"/>
      <c r="J344" s="5"/>
      <c r="L344" s="5"/>
    </row>
    <row r="345" spans="2:12" ht="18" customHeight="1">
      <c r="B345" s="5"/>
      <c r="D345" s="5"/>
      <c r="F345" s="5"/>
      <c r="H345" s="5"/>
      <c r="J345" s="5"/>
      <c r="L345" s="5"/>
    </row>
    <row r="346" spans="2:12" ht="18" customHeight="1">
      <c r="B346" s="5"/>
      <c r="D346" s="5"/>
      <c r="F346" s="5"/>
      <c r="H346" s="5"/>
      <c r="J346" s="5"/>
      <c r="L346" s="5"/>
    </row>
    <row r="347" spans="2:12" ht="18" customHeight="1">
      <c r="B347" s="5"/>
      <c r="D347" s="5"/>
      <c r="F347" s="5"/>
      <c r="H347" s="5"/>
      <c r="J347" s="5"/>
      <c r="L347" s="5"/>
    </row>
    <row r="348" spans="2:12" ht="18" customHeight="1">
      <c r="B348" s="5"/>
      <c r="D348" s="5"/>
      <c r="F348" s="5"/>
      <c r="H348" s="5"/>
      <c r="J348" s="5"/>
      <c r="L348" s="5"/>
    </row>
    <row r="349" spans="2:12" ht="18" customHeight="1">
      <c r="B349" s="5"/>
      <c r="D349" s="5"/>
      <c r="F349" s="5"/>
      <c r="H349" s="5"/>
      <c r="J349" s="5"/>
      <c r="L349" s="5"/>
    </row>
    <row r="350" spans="2:12" ht="18" customHeight="1">
      <c r="B350" s="5"/>
      <c r="D350" s="5"/>
      <c r="F350" s="5"/>
      <c r="H350" s="5"/>
      <c r="J350" s="5"/>
      <c r="L350" s="5"/>
    </row>
    <row r="351" spans="2:12" ht="18" customHeight="1">
      <c r="B351" s="5"/>
      <c r="D351" s="5"/>
      <c r="F351" s="5"/>
      <c r="H351" s="5"/>
      <c r="J351" s="5"/>
      <c r="L351" s="5"/>
    </row>
    <row r="352" spans="2:12" ht="18" customHeight="1">
      <c r="B352" s="5"/>
      <c r="D352" s="5"/>
      <c r="F352" s="5"/>
      <c r="H352" s="5"/>
      <c r="J352" s="5"/>
      <c r="L352" s="5"/>
    </row>
    <row r="353" spans="2:12" ht="18" customHeight="1">
      <c r="B353" s="5"/>
      <c r="D353" s="5"/>
      <c r="F353" s="5"/>
      <c r="H353" s="5"/>
      <c r="J353" s="5"/>
      <c r="L353" s="5"/>
    </row>
    <row r="354" spans="2:12" ht="18" customHeight="1">
      <c r="B354" s="5"/>
      <c r="D354" s="5"/>
      <c r="F354" s="5"/>
      <c r="H354" s="5"/>
      <c r="J354" s="5"/>
      <c r="L354" s="5"/>
    </row>
    <row r="355" spans="2:12" ht="18" customHeight="1">
      <c r="B355" s="5"/>
      <c r="D355" s="5"/>
      <c r="F355" s="5"/>
      <c r="H355" s="5"/>
      <c r="J355" s="5"/>
      <c r="L355" s="5"/>
    </row>
    <row r="356" spans="2:12" ht="18" customHeight="1">
      <c r="B356" s="5"/>
      <c r="D356" s="5"/>
      <c r="F356" s="5"/>
      <c r="H356" s="5"/>
      <c r="J356" s="5"/>
      <c r="L356" s="5"/>
    </row>
    <row r="357" spans="2:12" ht="18" customHeight="1">
      <c r="B357" s="5"/>
      <c r="D357" s="5"/>
      <c r="F357" s="5"/>
      <c r="H357" s="5"/>
      <c r="J357" s="5"/>
      <c r="L357" s="5"/>
    </row>
    <row r="358" spans="2:12" ht="18" customHeight="1">
      <c r="B358" s="5"/>
      <c r="D358" s="5"/>
      <c r="F358" s="5"/>
      <c r="H358" s="5"/>
      <c r="J358" s="5"/>
      <c r="L358" s="5"/>
    </row>
    <row r="359" spans="2:12" ht="18" customHeight="1">
      <c r="B359" s="5"/>
      <c r="D359" s="5"/>
      <c r="F359" s="5"/>
      <c r="H359" s="5"/>
      <c r="J359" s="5"/>
      <c r="L359" s="5"/>
    </row>
    <row r="360" spans="2:12" ht="18" customHeight="1">
      <c r="B360" s="5"/>
      <c r="D360" s="5"/>
      <c r="F360" s="5"/>
      <c r="H360" s="5"/>
      <c r="J360" s="5"/>
      <c r="L360" s="5"/>
    </row>
    <row r="361" spans="2:12" ht="18" customHeight="1">
      <c r="B361" s="5"/>
      <c r="D361" s="5"/>
      <c r="F361" s="5"/>
      <c r="H361" s="5"/>
      <c r="J361" s="5"/>
      <c r="L361" s="5"/>
    </row>
    <row r="362" spans="2:12" ht="18" customHeight="1">
      <c r="B362" s="5"/>
      <c r="D362" s="5"/>
      <c r="F362" s="5"/>
      <c r="H362" s="5"/>
      <c r="J362" s="5"/>
      <c r="L362" s="5"/>
    </row>
    <row r="363" spans="2:12" ht="18" customHeight="1">
      <c r="B363" s="5"/>
      <c r="D363" s="5"/>
      <c r="F363" s="5"/>
      <c r="H363" s="5"/>
      <c r="J363" s="5"/>
      <c r="L363" s="5"/>
    </row>
    <row r="364" spans="2:12" ht="18" customHeight="1">
      <c r="B364" s="5"/>
      <c r="D364" s="5"/>
      <c r="F364" s="5"/>
      <c r="H364" s="5"/>
      <c r="J364" s="5"/>
      <c r="L364" s="5"/>
    </row>
    <row r="365" spans="2:12" ht="18" customHeight="1">
      <c r="B365" s="5"/>
      <c r="D365" s="5"/>
      <c r="F365" s="5"/>
      <c r="H365" s="5"/>
      <c r="J365" s="5"/>
      <c r="L365" s="5"/>
    </row>
    <row r="366" spans="2:12" ht="18" customHeight="1">
      <c r="B366" s="5"/>
      <c r="D366" s="5"/>
      <c r="F366" s="5"/>
      <c r="H366" s="5"/>
      <c r="J366" s="5"/>
      <c r="L366" s="5"/>
    </row>
    <row r="367" spans="2:12" ht="18" customHeight="1">
      <c r="B367" s="5"/>
      <c r="D367" s="5"/>
      <c r="F367" s="5"/>
      <c r="H367" s="5"/>
      <c r="J367" s="5"/>
      <c r="L367" s="5"/>
    </row>
    <row r="368" spans="2:12" ht="18" customHeight="1">
      <c r="B368" s="5"/>
      <c r="D368" s="5"/>
      <c r="F368" s="5"/>
      <c r="H368" s="5"/>
      <c r="J368" s="5"/>
      <c r="L368" s="5"/>
    </row>
    <row r="369" spans="2:12" ht="18" customHeight="1">
      <c r="B369" s="5"/>
      <c r="D369" s="5"/>
      <c r="F369" s="5"/>
      <c r="H369" s="5"/>
      <c r="J369" s="5"/>
      <c r="L369" s="5"/>
    </row>
    <row r="370" spans="2:12" ht="18" customHeight="1">
      <c r="B370" s="5"/>
      <c r="D370" s="5"/>
      <c r="F370" s="5"/>
      <c r="H370" s="5"/>
      <c r="J370" s="5"/>
      <c r="L370" s="5"/>
    </row>
    <row r="371" spans="2:12" ht="18" customHeight="1">
      <c r="B371" s="5"/>
      <c r="D371" s="5"/>
      <c r="F371" s="5"/>
      <c r="H371" s="5"/>
      <c r="J371" s="5"/>
      <c r="L371" s="5"/>
    </row>
    <row r="372" spans="2:12" ht="18" customHeight="1">
      <c r="B372" s="5"/>
      <c r="D372" s="5"/>
      <c r="F372" s="5"/>
      <c r="H372" s="5"/>
      <c r="J372" s="5"/>
      <c r="L372" s="5"/>
    </row>
    <row r="373" spans="2:12" ht="18" customHeight="1">
      <c r="B373" s="5"/>
      <c r="D373" s="5"/>
      <c r="F373" s="5"/>
      <c r="H373" s="5"/>
      <c r="J373" s="5"/>
      <c r="L373" s="5"/>
    </row>
    <row r="374" spans="2:12" ht="18" customHeight="1">
      <c r="B374" s="5"/>
      <c r="D374" s="5"/>
      <c r="F374" s="5"/>
      <c r="H374" s="5"/>
      <c r="J374" s="5"/>
      <c r="L374" s="5"/>
    </row>
    <row r="375" spans="2:12" ht="18" customHeight="1">
      <c r="B375" s="5"/>
      <c r="D375" s="5"/>
      <c r="F375" s="5"/>
      <c r="H375" s="5"/>
      <c r="J375" s="5"/>
      <c r="L375" s="5"/>
    </row>
    <row r="376" spans="2:12" ht="18" customHeight="1">
      <c r="B376" s="5"/>
      <c r="D376" s="5"/>
      <c r="F376" s="5"/>
      <c r="H376" s="5"/>
      <c r="J376" s="5"/>
      <c r="L376" s="5"/>
    </row>
    <row r="377" spans="2:12" ht="18" customHeight="1">
      <c r="B377" s="5"/>
      <c r="D377" s="5"/>
      <c r="F377" s="5"/>
      <c r="H377" s="5"/>
      <c r="J377" s="5"/>
      <c r="L377" s="5"/>
    </row>
    <row r="378" spans="2:12" ht="18" customHeight="1">
      <c r="B378" s="5"/>
      <c r="D378" s="5"/>
      <c r="F378" s="5"/>
      <c r="H378" s="5"/>
      <c r="J378" s="5"/>
      <c r="L378" s="5"/>
    </row>
    <row r="379" spans="2:12" ht="18" customHeight="1">
      <c r="B379" s="5"/>
      <c r="D379" s="5"/>
      <c r="F379" s="5"/>
      <c r="H379" s="5"/>
      <c r="J379" s="5"/>
      <c r="L379" s="5"/>
    </row>
    <row r="380" spans="2:12" ht="18" customHeight="1">
      <c r="B380" s="5"/>
      <c r="D380" s="5"/>
      <c r="F380" s="5"/>
      <c r="H380" s="5"/>
      <c r="J380" s="5"/>
      <c r="L380" s="5"/>
    </row>
    <row r="381" spans="2:12" ht="18" customHeight="1">
      <c r="B381" s="5"/>
      <c r="D381" s="5"/>
      <c r="F381" s="5"/>
      <c r="H381" s="5"/>
      <c r="J381" s="5"/>
      <c r="L381" s="5"/>
    </row>
    <row r="382" spans="2:12" ht="18" customHeight="1">
      <c r="B382" s="5"/>
      <c r="D382" s="5"/>
      <c r="F382" s="5"/>
      <c r="H382" s="5"/>
      <c r="J382" s="5"/>
      <c r="L382" s="5"/>
    </row>
    <row r="383" spans="2:12" ht="18" customHeight="1">
      <c r="B383" s="5"/>
      <c r="D383" s="5"/>
      <c r="F383" s="5"/>
      <c r="H383" s="5"/>
      <c r="J383" s="5"/>
      <c r="L383" s="5"/>
    </row>
    <row r="384" spans="2:12" ht="18" customHeight="1">
      <c r="B384" s="5"/>
      <c r="D384" s="5"/>
      <c r="F384" s="5"/>
      <c r="H384" s="5"/>
      <c r="J384" s="5"/>
      <c r="L384" s="5"/>
    </row>
    <row r="385" spans="2:12" ht="18" customHeight="1">
      <c r="B385" s="5"/>
      <c r="D385" s="5"/>
      <c r="F385" s="5"/>
      <c r="H385" s="5"/>
      <c r="J385" s="5"/>
      <c r="L385" s="5"/>
    </row>
    <row r="386" spans="2:12" ht="18" customHeight="1">
      <c r="B386" s="5"/>
      <c r="D386" s="5"/>
      <c r="F386" s="5"/>
      <c r="H386" s="5"/>
      <c r="J386" s="5"/>
      <c r="L386" s="5"/>
    </row>
    <row r="387" spans="2:12" ht="18" customHeight="1">
      <c r="B387" s="5"/>
      <c r="D387" s="5"/>
      <c r="F387" s="5"/>
      <c r="H387" s="5"/>
      <c r="J387" s="5"/>
      <c r="L387" s="5"/>
    </row>
    <row r="388" spans="2:12" ht="18" customHeight="1">
      <c r="B388" s="5"/>
      <c r="D388" s="5"/>
      <c r="F388" s="5"/>
      <c r="H388" s="5"/>
      <c r="J388" s="5"/>
      <c r="L388" s="5"/>
    </row>
    <row r="389" spans="2:12" ht="18" customHeight="1">
      <c r="B389" s="5"/>
      <c r="D389" s="5"/>
      <c r="F389" s="5"/>
      <c r="H389" s="5"/>
      <c r="J389" s="5"/>
      <c r="L389" s="5"/>
    </row>
    <row r="390" spans="2:12" ht="18" customHeight="1">
      <c r="B390" s="5"/>
      <c r="D390" s="5"/>
      <c r="F390" s="5"/>
      <c r="H390" s="5"/>
      <c r="J390" s="5"/>
      <c r="L390" s="5"/>
    </row>
    <row r="391" spans="2:12" ht="18" customHeight="1">
      <c r="B391" s="5"/>
      <c r="D391" s="5"/>
      <c r="F391" s="5"/>
      <c r="H391" s="5"/>
      <c r="J391" s="5"/>
      <c r="L391" s="5"/>
    </row>
    <row r="392" spans="2:12" ht="18" customHeight="1">
      <c r="B392" s="5"/>
      <c r="D392" s="5"/>
      <c r="F392" s="5"/>
      <c r="H392" s="5"/>
      <c r="J392" s="5"/>
      <c r="L392" s="5"/>
    </row>
    <row r="393" spans="2:12" ht="18" customHeight="1">
      <c r="B393" s="5"/>
      <c r="D393" s="5"/>
      <c r="F393" s="5"/>
      <c r="H393" s="5"/>
      <c r="J393" s="5"/>
      <c r="L393" s="5"/>
    </row>
    <row r="394" spans="2:12" ht="18" customHeight="1">
      <c r="B394" s="5"/>
      <c r="D394" s="5"/>
      <c r="F394" s="5"/>
      <c r="H394" s="5"/>
      <c r="J394" s="5"/>
      <c r="L394" s="5"/>
    </row>
    <row r="395" spans="2:12" ht="18" customHeight="1">
      <c r="B395" s="5"/>
      <c r="D395" s="5"/>
      <c r="F395" s="5"/>
      <c r="H395" s="5"/>
      <c r="J395" s="5"/>
      <c r="L395" s="5"/>
    </row>
    <row r="396" spans="2:12" ht="18" customHeight="1">
      <c r="B396" s="5"/>
      <c r="D396" s="5"/>
      <c r="F396" s="5"/>
      <c r="H396" s="5"/>
      <c r="J396" s="5"/>
      <c r="L396" s="5"/>
    </row>
    <row r="397" spans="2:12" ht="18" customHeight="1">
      <c r="B397" s="5"/>
      <c r="D397" s="5"/>
      <c r="F397" s="5"/>
      <c r="H397" s="5"/>
      <c r="J397" s="5"/>
      <c r="L397" s="5"/>
    </row>
    <row r="398" spans="2:12" ht="18" customHeight="1">
      <c r="B398" s="5"/>
      <c r="D398" s="5"/>
      <c r="F398" s="5"/>
      <c r="H398" s="5"/>
      <c r="J398" s="5"/>
      <c r="L398" s="5"/>
    </row>
    <row r="399" spans="2:12" ht="18" customHeight="1">
      <c r="B399" s="5"/>
      <c r="D399" s="5"/>
      <c r="F399" s="5"/>
      <c r="H399" s="5"/>
      <c r="J399" s="5"/>
      <c r="L399" s="5"/>
    </row>
    <row r="400" spans="2:12" ht="18" customHeight="1">
      <c r="B400" s="5"/>
      <c r="D400" s="5"/>
      <c r="F400" s="5"/>
      <c r="H400" s="5"/>
      <c r="J400" s="5"/>
      <c r="L400" s="5"/>
    </row>
    <row r="401" spans="2:12" ht="18" customHeight="1">
      <c r="B401" s="5"/>
      <c r="D401" s="5"/>
      <c r="F401" s="5"/>
      <c r="H401" s="5"/>
      <c r="J401" s="5"/>
      <c r="L401" s="5"/>
    </row>
    <row r="402" spans="2:12" ht="18" customHeight="1">
      <c r="B402" s="5"/>
      <c r="D402" s="5"/>
      <c r="F402" s="5"/>
      <c r="H402" s="5"/>
      <c r="J402" s="5"/>
      <c r="L402" s="5"/>
    </row>
    <row r="403" spans="2:12" ht="18" customHeight="1">
      <c r="B403" s="5"/>
      <c r="D403" s="5"/>
      <c r="F403" s="5"/>
      <c r="H403" s="5"/>
      <c r="J403" s="5"/>
      <c r="L403" s="5"/>
    </row>
    <row r="404" spans="2:12" ht="18" customHeight="1">
      <c r="B404" s="5"/>
      <c r="D404" s="5"/>
      <c r="F404" s="5"/>
      <c r="H404" s="5"/>
      <c r="J404" s="5"/>
      <c r="L404" s="5"/>
    </row>
    <row r="405" spans="2:12" ht="18" customHeight="1">
      <c r="B405" s="5"/>
      <c r="D405" s="5"/>
      <c r="F405" s="5"/>
      <c r="H405" s="5"/>
      <c r="J405" s="5"/>
      <c r="L405" s="5"/>
    </row>
    <row r="406" spans="2:12" ht="18" customHeight="1">
      <c r="B406" s="5"/>
      <c r="D406" s="5"/>
      <c r="F406" s="5"/>
      <c r="H406" s="5"/>
      <c r="J406" s="5"/>
      <c r="L406" s="5"/>
    </row>
    <row r="407" spans="2:12" ht="18" customHeight="1">
      <c r="B407" s="5"/>
      <c r="D407" s="5"/>
      <c r="F407" s="5"/>
      <c r="H407" s="5"/>
      <c r="J407" s="5"/>
      <c r="L407" s="5"/>
    </row>
    <row r="408" spans="2:12" ht="18" customHeight="1">
      <c r="B408" s="5"/>
      <c r="D408" s="5"/>
      <c r="F408" s="5"/>
      <c r="H408" s="5"/>
      <c r="J408" s="5"/>
      <c r="L408" s="5"/>
    </row>
    <row r="409" spans="2:12" ht="18" customHeight="1">
      <c r="B409" s="5"/>
      <c r="D409" s="5"/>
      <c r="F409" s="5"/>
      <c r="H409" s="5"/>
      <c r="J409" s="5"/>
      <c r="L409" s="5"/>
    </row>
    <row r="410" spans="2:12" ht="18" customHeight="1">
      <c r="B410" s="5"/>
      <c r="D410" s="5"/>
      <c r="F410" s="5"/>
      <c r="H410" s="5"/>
      <c r="J410" s="5"/>
      <c r="L410" s="5"/>
    </row>
    <row r="411" spans="2:12" ht="18" customHeight="1">
      <c r="B411" s="5"/>
      <c r="D411" s="5"/>
      <c r="F411" s="5"/>
      <c r="H411" s="5"/>
      <c r="J411" s="5"/>
      <c r="L411" s="5"/>
    </row>
    <row r="412" spans="2:12" ht="18" customHeight="1">
      <c r="B412" s="5"/>
      <c r="D412" s="5"/>
      <c r="F412" s="5"/>
      <c r="H412" s="5"/>
      <c r="J412" s="5"/>
      <c r="L412" s="5"/>
    </row>
    <row r="413" spans="2:12" ht="18" customHeight="1">
      <c r="B413" s="5"/>
      <c r="D413" s="5"/>
      <c r="F413" s="5"/>
      <c r="H413" s="5"/>
      <c r="J413" s="5"/>
      <c r="L413" s="5"/>
    </row>
    <row r="414" spans="2:12" ht="18" customHeight="1">
      <c r="B414" s="5"/>
      <c r="D414" s="5"/>
      <c r="F414" s="5"/>
      <c r="H414" s="5"/>
      <c r="J414" s="5"/>
      <c r="L414" s="5"/>
    </row>
    <row r="415" spans="2:12" ht="18" customHeight="1">
      <c r="B415" s="5"/>
      <c r="D415" s="5"/>
      <c r="F415" s="5"/>
      <c r="H415" s="5"/>
      <c r="J415" s="5"/>
      <c r="L415" s="5"/>
    </row>
    <row r="416" spans="2:12" ht="18" customHeight="1">
      <c r="B416" s="5"/>
      <c r="D416" s="5"/>
      <c r="F416" s="5"/>
      <c r="H416" s="5"/>
      <c r="J416" s="5"/>
      <c r="L416" s="5"/>
    </row>
    <row r="417" spans="2:12" ht="18" customHeight="1">
      <c r="B417" s="5"/>
      <c r="D417" s="5"/>
      <c r="F417" s="5"/>
      <c r="H417" s="5"/>
      <c r="J417" s="5"/>
      <c r="L417" s="5"/>
    </row>
    <row r="418" spans="2:12" ht="18" customHeight="1">
      <c r="B418" s="5"/>
      <c r="D418" s="5"/>
      <c r="F418" s="5"/>
      <c r="H418" s="5"/>
      <c r="J418" s="5"/>
      <c r="L418" s="5"/>
    </row>
    <row r="419" spans="2:12" ht="18" customHeight="1">
      <c r="B419" s="5"/>
      <c r="D419" s="5"/>
      <c r="F419" s="5"/>
      <c r="H419" s="5"/>
      <c r="J419" s="5"/>
      <c r="L419" s="5"/>
    </row>
    <row r="420" spans="2:12" ht="18" customHeight="1">
      <c r="B420" s="5"/>
      <c r="D420" s="5"/>
      <c r="F420" s="5"/>
      <c r="H420" s="5"/>
      <c r="J420" s="5"/>
      <c r="L420" s="5"/>
    </row>
    <row r="421" spans="2:12" ht="18" customHeight="1">
      <c r="B421" s="5"/>
      <c r="D421" s="5"/>
      <c r="F421" s="5"/>
      <c r="H421" s="5"/>
      <c r="J421" s="5"/>
      <c r="L421" s="5"/>
    </row>
    <row r="422" spans="2:12" ht="18" customHeight="1">
      <c r="B422" s="5"/>
      <c r="D422" s="5"/>
      <c r="F422" s="5"/>
      <c r="H422" s="5"/>
      <c r="J422" s="5"/>
      <c r="L422" s="5"/>
    </row>
    <row r="423" spans="2:12" ht="18" customHeight="1">
      <c r="B423" s="5"/>
      <c r="D423" s="5"/>
      <c r="F423" s="5"/>
      <c r="H423" s="5"/>
      <c r="J423" s="5"/>
      <c r="L423" s="5"/>
    </row>
    <row r="424" spans="2:12" ht="18" customHeight="1">
      <c r="B424" s="5"/>
      <c r="D424" s="5"/>
      <c r="F424" s="5"/>
      <c r="H424" s="5"/>
      <c r="J424" s="5"/>
      <c r="L424" s="5"/>
    </row>
    <row r="425" spans="2:12" ht="18" customHeight="1">
      <c r="B425" s="5"/>
      <c r="D425" s="5"/>
      <c r="F425" s="5"/>
      <c r="H425" s="5"/>
      <c r="J425" s="5"/>
      <c r="L425" s="5"/>
    </row>
    <row r="426" spans="2:12" ht="18" customHeight="1">
      <c r="B426" s="5"/>
      <c r="D426" s="5"/>
      <c r="F426" s="5"/>
      <c r="H426" s="5"/>
      <c r="J426" s="5"/>
      <c r="L426" s="5"/>
    </row>
    <row r="427" spans="2:12" ht="18" customHeight="1">
      <c r="B427" s="5"/>
      <c r="D427" s="5"/>
      <c r="F427" s="5"/>
      <c r="H427" s="5"/>
      <c r="J427" s="5"/>
      <c r="L427" s="5"/>
    </row>
    <row r="428" spans="2:12" ht="18" customHeight="1">
      <c r="B428" s="5"/>
      <c r="D428" s="5"/>
      <c r="F428" s="5"/>
      <c r="H428" s="5"/>
      <c r="J428" s="5"/>
      <c r="L428" s="5"/>
    </row>
    <row r="429" spans="2:12" ht="18" customHeight="1">
      <c r="B429" s="5"/>
      <c r="D429" s="5"/>
      <c r="F429" s="5"/>
      <c r="H429" s="5"/>
      <c r="J429" s="5"/>
      <c r="L429" s="5"/>
    </row>
    <row r="430" spans="2:12" ht="18" customHeight="1">
      <c r="B430" s="5"/>
      <c r="D430" s="5"/>
      <c r="F430" s="5"/>
      <c r="H430" s="5"/>
      <c r="J430" s="5"/>
      <c r="L430" s="5"/>
    </row>
    <row r="431" spans="2:12" ht="18" customHeight="1">
      <c r="B431" s="5"/>
      <c r="D431" s="5"/>
      <c r="F431" s="5"/>
      <c r="H431" s="5"/>
      <c r="J431" s="5"/>
      <c r="L431" s="5"/>
    </row>
    <row r="432" spans="2:12" ht="18" customHeight="1">
      <c r="B432" s="5"/>
      <c r="D432" s="5"/>
      <c r="F432" s="5"/>
      <c r="H432" s="5"/>
      <c r="J432" s="5"/>
      <c r="L432" s="5"/>
    </row>
    <row r="433" spans="2:12" ht="18" customHeight="1">
      <c r="B433" s="5"/>
      <c r="D433" s="5"/>
      <c r="F433" s="5"/>
      <c r="H433" s="5"/>
      <c r="J433" s="5"/>
      <c r="L433" s="5"/>
    </row>
    <row r="434" spans="2:12" ht="18" customHeight="1">
      <c r="B434" s="5"/>
      <c r="D434" s="5"/>
      <c r="F434" s="5"/>
      <c r="H434" s="5"/>
      <c r="J434" s="5"/>
      <c r="L434" s="5"/>
    </row>
    <row r="435" spans="2:12" ht="18" customHeight="1">
      <c r="B435" s="5"/>
      <c r="D435" s="5"/>
      <c r="F435" s="5"/>
      <c r="H435" s="5"/>
      <c r="J435" s="5"/>
      <c r="L435" s="5"/>
    </row>
    <row r="436" spans="2:12" ht="18" customHeight="1">
      <c r="B436" s="5"/>
      <c r="D436" s="5"/>
      <c r="F436" s="5"/>
      <c r="H436" s="5"/>
      <c r="J436" s="5"/>
      <c r="L436" s="5"/>
    </row>
    <row r="437" spans="2:12" ht="18" customHeight="1">
      <c r="B437" s="5"/>
      <c r="D437" s="5"/>
      <c r="F437" s="5"/>
      <c r="H437" s="5"/>
      <c r="J437" s="5"/>
      <c r="L437" s="5"/>
    </row>
    <row r="438" spans="2:12" ht="18" customHeight="1">
      <c r="B438" s="5"/>
      <c r="D438" s="5"/>
      <c r="F438" s="5"/>
      <c r="H438" s="5"/>
      <c r="J438" s="5"/>
      <c r="L438" s="5"/>
    </row>
    <row r="439" spans="2:12" ht="18" customHeight="1">
      <c r="B439" s="5"/>
      <c r="D439" s="5"/>
      <c r="F439" s="5"/>
      <c r="H439" s="5"/>
      <c r="J439" s="5"/>
      <c r="L439" s="5"/>
    </row>
    <row r="440" spans="2:12" ht="18" customHeight="1">
      <c r="B440" s="5"/>
      <c r="D440" s="5"/>
      <c r="F440" s="5"/>
      <c r="H440" s="5"/>
      <c r="J440" s="5"/>
      <c r="L440" s="5"/>
    </row>
    <row r="441" spans="2:12" ht="18" customHeight="1">
      <c r="B441" s="5"/>
      <c r="D441" s="5"/>
      <c r="F441" s="5"/>
      <c r="H441" s="5"/>
      <c r="J441" s="5"/>
      <c r="L441" s="5"/>
    </row>
    <row r="442" spans="2:12" ht="18" customHeight="1">
      <c r="B442" s="5"/>
      <c r="D442" s="5"/>
      <c r="F442" s="5"/>
      <c r="H442" s="5"/>
      <c r="J442" s="5"/>
      <c r="L442" s="5"/>
    </row>
    <row r="443" spans="2:12" ht="18" customHeight="1">
      <c r="B443" s="5"/>
      <c r="D443" s="5"/>
      <c r="F443" s="5"/>
      <c r="H443" s="5"/>
      <c r="J443" s="5"/>
      <c r="L443" s="5"/>
    </row>
    <row r="444" spans="2:12" ht="18" customHeight="1">
      <c r="B444" s="5"/>
      <c r="D444" s="5"/>
      <c r="F444" s="5"/>
      <c r="H444" s="5"/>
      <c r="J444" s="5"/>
      <c r="L444" s="5"/>
    </row>
    <row r="445" spans="2:12" ht="18" customHeight="1">
      <c r="B445" s="5"/>
      <c r="D445" s="5"/>
      <c r="F445" s="5"/>
      <c r="H445" s="5"/>
      <c r="J445" s="5"/>
      <c r="L445" s="5"/>
    </row>
    <row r="446" spans="2:12" ht="18" customHeight="1">
      <c r="B446" s="5"/>
      <c r="D446" s="5"/>
      <c r="F446" s="5"/>
      <c r="H446" s="5"/>
      <c r="J446" s="5"/>
      <c r="L446" s="5"/>
    </row>
    <row r="447" spans="2:12" ht="18" customHeight="1">
      <c r="B447" s="5"/>
      <c r="D447" s="5"/>
      <c r="F447" s="5"/>
      <c r="H447" s="5"/>
      <c r="J447" s="5"/>
      <c r="L447" s="5"/>
    </row>
    <row r="448" spans="2:12" ht="18" customHeight="1">
      <c r="B448" s="5"/>
      <c r="D448" s="5"/>
      <c r="F448" s="5"/>
      <c r="H448" s="5"/>
      <c r="J448" s="5"/>
      <c r="L448" s="5"/>
    </row>
    <row r="449" spans="2:12" ht="18" customHeight="1">
      <c r="B449" s="5"/>
      <c r="D449" s="5"/>
      <c r="F449" s="5"/>
      <c r="H449" s="5"/>
      <c r="J449" s="5"/>
      <c r="L449" s="5"/>
    </row>
    <row r="450" spans="2:12" ht="18" customHeight="1">
      <c r="B450" s="5"/>
      <c r="D450" s="5"/>
      <c r="F450" s="5"/>
      <c r="H450" s="5"/>
      <c r="J450" s="5"/>
      <c r="L450" s="5"/>
    </row>
    <row r="451" spans="2:12" ht="18" customHeight="1">
      <c r="B451" s="5"/>
      <c r="D451" s="5"/>
      <c r="F451" s="5"/>
      <c r="H451" s="5"/>
      <c r="J451" s="5"/>
      <c r="L451" s="5"/>
    </row>
    <row r="452" spans="2:12" ht="18" customHeight="1">
      <c r="B452" s="5"/>
      <c r="D452" s="5"/>
      <c r="F452" s="5"/>
      <c r="H452" s="5"/>
      <c r="J452" s="5"/>
      <c r="L452" s="5"/>
    </row>
    <row r="453" spans="2:12" ht="18" customHeight="1">
      <c r="B453" s="5"/>
      <c r="D453" s="5"/>
      <c r="F453" s="5"/>
      <c r="H453" s="5"/>
      <c r="J453" s="5"/>
      <c r="L453" s="5"/>
    </row>
    <row r="454" spans="2:12" ht="18" customHeight="1">
      <c r="B454" s="5"/>
      <c r="D454" s="5"/>
      <c r="F454" s="5"/>
      <c r="H454" s="5"/>
      <c r="J454" s="5"/>
      <c r="L454" s="5"/>
    </row>
    <row r="455" spans="2:12" ht="18" customHeight="1">
      <c r="B455" s="5"/>
      <c r="D455" s="5"/>
      <c r="F455" s="5"/>
      <c r="H455" s="5"/>
      <c r="J455" s="5"/>
      <c r="L455" s="5"/>
    </row>
    <row r="456" spans="2:12" ht="18" customHeight="1">
      <c r="B456" s="5"/>
      <c r="D456" s="5"/>
      <c r="F456" s="5"/>
      <c r="H456" s="5"/>
      <c r="J456" s="5"/>
      <c r="L456" s="5"/>
    </row>
    <row r="457" spans="2:12" ht="18" customHeight="1">
      <c r="B457" s="5"/>
      <c r="D457" s="5"/>
      <c r="F457" s="5"/>
      <c r="H457" s="5"/>
      <c r="J457" s="5"/>
      <c r="L457" s="5"/>
    </row>
    <row r="458" spans="2:12" ht="18" customHeight="1">
      <c r="B458" s="5"/>
      <c r="D458" s="5"/>
      <c r="F458" s="5"/>
      <c r="H458" s="5"/>
      <c r="J458" s="5"/>
      <c r="L458" s="5"/>
    </row>
    <row r="459" spans="2:12" ht="18" customHeight="1">
      <c r="B459" s="5"/>
      <c r="D459" s="5"/>
      <c r="F459" s="5"/>
      <c r="H459" s="5"/>
      <c r="J459" s="5"/>
      <c r="L459" s="5"/>
    </row>
    <row r="460" spans="2:12" ht="18" customHeight="1">
      <c r="B460" s="5"/>
      <c r="D460" s="5"/>
      <c r="F460" s="5"/>
      <c r="H460" s="5"/>
      <c r="J460" s="5"/>
      <c r="L460" s="5"/>
    </row>
    <row r="461" spans="2:12" ht="18" customHeight="1">
      <c r="B461" s="5"/>
      <c r="D461" s="5"/>
      <c r="F461" s="5"/>
      <c r="H461" s="5"/>
      <c r="J461" s="5"/>
      <c r="L461" s="5"/>
    </row>
    <row r="462" spans="2:12" ht="18" customHeight="1">
      <c r="B462" s="5"/>
      <c r="D462" s="5"/>
      <c r="F462" s="5"/>
      <c r="H462" s="5"/>
      <c r="J462" s="5"/>
      <c r="L462" s="5"/>
    </row>
    <row r="463" spans="2:12" ht="18" customHeight="1">
      <c r="B463" s="5"/>
      <c r="D463" s="5"/>
      <c r="F463" s="5"/>
      <c r="H463" s="5"/>
      <c r="J463" s="5"/>
      <c r="L463" s="5"/>
    </row>
    <row r="464" spans="2:12" ht="18" customHeight="1">
      <c r="B464" s="5"/>
      <c r="D464" s="5"/>
      <c r="F464" s="5"/>
      <c r="H464" s="5"/>
      <c r="J464" s="5"/>
      <c r="L464" s="5"/>
    </row>
    <row r="465" spans="2:12" ht="18" customHeight="1">
      <c r="B465" s="5"/>
      <c r="D465" s="5"/>
      <c r="F465" s="5"/>
      <c r="H465" s="5"/>
      <c r="J465" s="5"/>
      <c r="L465" s="5"/>
    </row>
    <row r="466" spans="2:12" ht="18" customHeight="1">
      <c r="B466" s="5"/>
      <c r="D466" s="5"/>
      <c r="F466" s="5"/>
      <c r="H466" s="5"/>
      <c r="J466" s="5"/>
      <c r="L466" s="5"/>
    </row>
    <row r="467" spans="2:12" ht="18" customHeight="1">
      <c r="B467" s="5"/>
      <c r="D467" s="5"/>
      <c r="F467" s="5"/>
      <c r="H467" s="5"/>
      <c r="J467" s="5"/>
      <c r="L467" s="5"/>
    </row>
    <row r="468" spans="2:12" ht="18" customHeight="1">
      <c r="B468" s="5"/>
      <c r="D468" s="5"/>
      <c r="F468" s="5"/>
      <c r="H468" s="5"/>
      <c r="J468" s="5"/>
      <c r="L468" s="5"/>
    </row>
    <row r="469" spans="2:12" ht="18" customHeight="1">
      <c r="B469" s="5"/>
      <c r="D469" s="5"/>
      <c r="F469" s="5"/>
      <c r="H469" s="5"/>
      <c r="J469" s="5"/>
      <c r="L469" s="5"/>
    </row>
    <row r="470" spans="2:12" ht="18" customHeight="1">
      <c r="B470" s="5"/>
      <c r="D470" s="5"/>
      <c r="F470" s="5"/>
      <c r="H470" s="5"/>
      <c r="J470" s="5"/>
      <c r="L470" s="5"/>
    </row>
    <row r="471" spans="2:12" ht="18" customHeight="1">
      <c r="B471" s="5"/>
      <c r="D471" s="5"/>
      <c r="F471" s="5"/>
      <c r="H471" s="5"/>
      <c r="J471" s="5"/>
      <c r="L471" s="5"/>
    </row>
    <row r="472" spans="2:12" ht="18" customHeight="1">
      <c r="B472" s="5"/>
      <c r="D472" s="5"/>
      <c r="F472" s="5"/>
      <c r="H472" s="5"/>
      <c r="J472" s="5"/>
      <c r="L472" s="5"/>
    </row>
    <row r="473" spans="2:12" ht="18" customHeight="1">
      <c r="B473" s="5"/>
      <c r="D473" s="5"/>
      <c r="F473" s="5"/>
      <c r="H473" s="5"/>
      <c r="J473" s="5"/>
      <c r="L473" s="5"/>
    </row>
    <row r="474" spans="2:12" ht="18" customHeight="1">
      <c r="B474" s="5"/>
      <c r="D474" s="5"/>
      <c r="F474" s="5"/>
      <c r="H474" s="5"/>
      <c r="J474" s="5"/>
      <c r="L474" s="5"/>
    </row>
    <row r="475" spans="2:12" ht="18" customHeight="1">
      <c r="B475" s="5"/>
      <c r="D475" s="5"/>
      <c r="F475" s="5"/>
      <c r="H475" s="5"/>
      <c r="J475" s="5"/>
      <c r="L475" s="5"/>
    </row>
    <row r="476" spans="2:12" ht="18" customHeight="1">
      <c r="B476" s="5"/>
      <c r="D476" s="5"/>
      <c r="F476" s="5"/>
      <c r="H476" s="5"/>
      <c r="J476" s="5"/>
      <c r="L476" s="5"/>
    </row>
    <row r="477" spans="2:12" ht="18" customHeight="1">
      <c r="B477" s="5"/>
      <c r="D477" s="5"/>
      <c r="F477" s="5"/>
      <c r="H477" s="5"/>
      <c r="J477" s="5"/>
      <c r="L477" s="5"/>
    </row>
    <row r="478" spans="2:12" ht="18" customHeight="1">
      <c r="B478" s="5"/>
      <c r="D478" s="5"/>
      <c r="F478" s="5"/>
      <c r="H478" s="5"/>
      <c r="J478" s="5"/>
      <c r="L478" s="5"/>
    </row>
    <row r="479" spans="2:12" ht="18" customHeight="1">
      <c r="B479" s="5"/>
      <c r="D479" s="5"/>
      <c r="F479" s="5"/>
      <c r="H479" s="5"/>
      <c r="J479" s="5"/>
      <c r="L479" s="5"/>
    </row>
    <row r="480" spans="2:12" ht="18" customHeight="1">
      <c r="B480" s="5"/>
      <c r="D480" s="5"/>
      <c r="F480" s="5"/>
      <c r="H480" s="5"/>
      <c r="J480" s="5"/>
      <c r="L480" s="5"/>
    </row>
    <row r="481" spans="2:12" ht="18" customHeight="1">
      <c r="B481" s="5"/>
      <c r="D481" s="5"/>
      <c r="F481" s="5"/>
      <c r="H481" s="5"/>
      <c r="J481" s="5"/>
      <c r="L481" s="5"/>
    </row>
    <row r="482" spans="2:12" ht="18" customHeight="1">
      <c r="B482" s="5"/>
      <c r="D482" s="5"/>
      <c r="F482" s="5"/>
      <c r="H482" s="5"/>
      <c r="J482" s="5"/>
      <c r="L482" s="5"/>
    </row>
    <row r="483" spans="2:12" ht="18" customHeight="1">
      <c r="B483" s="5"/>
      <c r="D483" s="5"/>
      <c r="F483" s="5"/>
      <c r="H483" s="5"/>
      <c r="J483" s="5"/>
      <c r="L483" s="5"/>
    </row>
    <row r="484" spans="2:12" ht="18" customHeight="1">
      <c r="B484" s="5"/>
      <c r="D484" s="5"/>
      <c r="F484" s="5"/>
      <c r="H484" s="5"/>
      <c r="J484" s="5"/>
      <c r="L484" s="5"/>
    </row>
    <row r="485" spans="2:12" ht="18" customHeight="1">
      <c r="B485" s="5"/>
      <c r="D485" s="5"/>
      <c r="F485" s="5"/>
      <c r="H485" s="5"/>
      <c r="J485" s="5"/>
      <c r="L485" s="5"/>
    </row>
    <row r="486" spans="2:12" ht="18" customHeight="1">
      <c r="B486" s="5"/>
      <c r="D486" s="5"/>
      <c r="F486" s="5"/>
      <c r="H486" s="5"/>
      <c r="J486" s="5"/>
      <c r="L486" s="5"/>
    </row>
    <row r="487" spans="2:12" ht="18" customHeight="1">
      <c r="B487" s="5"/>
      <c r="D487" s="5"/>
      <c r="F487" s="5"/>
      <c r="H487" s="5"/>
      <c r="J487" s="5"/>
      <c r="L487" s="5"/>
    </row>
    <row r="488" spans="2:12" ht="18" customHeight="1">
      <c r="B488" s="5"/>
      <c r="D488" s="5"/>
      <c r="F488" s="5"/>
      <c r="H488" s="5"/>
      <c r="J488" s="5"/>
      <c r="L488" s="5"/>
    </row>
    <row r="489" spans="2:12" ht="18" customHeight="1">
      <c r="B489" s="5"/>
      <c r="D489" s="5"/>
      <c r="F489" s="5"/>
      <c r="H489" s="5"/>
      <c r="J489" s="5"/>
      <c r="L489" s="5"/>
    </row>
    <row r="490" spans="2:12" ht="18" customHeight="1">
      <c r="B490" s="5"/>
      <c r="D490" s="5"/>
      <c r="F490" s="5"/>
      <c r="H490" s="5"/>
      <c r="J490" s="5"/>
      <c r="L490" s="5"/>
    </row>
    <row r="491" spans="2:12" ht="18" customHeight="1">
      <c r="B491" s="5"/>
      <c r="D491" s="5"/>
      <c r="F491" s="5"/>
      <c r="H491" s="5"/>
      <c r="J491" s="5"/>
      <c r="L491" s="5"/>
    </row>
    <row r="492" spans="2:12" ht="18" customHeight="1">
      <c r="B492" s="5"/>
      <c r="D492" s="5"/>
      <c r="F492" s="5"/>
      <c r="H492" s="5"/>
      <c r="J492" s="5"/>
      <c r="L492" s="5"/>
    </row>
    <row r="493" spans="2:12" ht="18" customHeight="1">
      <c r="B493" s="5"/>
      <c r="D493" s="5"/>
      <c r="F493" s="5"/>
      <c r="H493" s="5"/>
      <c r="J493" s="5"/>
      <c r="L493" s="5"/>
    </row>
    <row r="494" spans="2:12" ht="18" customHeight="1">
      <c r="B494" s="5"/>
      <c r="D494" s="5"/>
      <c r="F494" s="5"/>
      <c r="H494" s="5"/>
      <c r="J494" s="5"/>
      <c r="L494" s="5"/>
    </row>
    <row r="495" spans="2:12" ht="18" customHeight="1">
      <c r="B495" s="5"/>
      <c r="D495" s="5"/>
      <c r="F495" s="5"/>
      <c r="H495" s="5"/>
      <c r="J495" s="5"/>
      <c r="L495" s="5"/>
    </row>
    <row r="496" spans="2:12" ht="18" customHeight="1">
      <c r="B496" s="5"/>
      <c r="D496" s="5"/>
      <c r="F496" s="5"/>
      <c r="H496" s="5"/>
      <c r="J496" s="5"/>
      <c r="L496" s="5"/>
    </row>
    <row r="497" spans="2:12" ht="18" customHeight="1">
      <c r="B497" s="5"/>
      <c r="D497" s="5"/>
      <c r="F497" s="5"/>
      <c r="H497" s="5"/>
      <c r="J497" s="5"/>
      <c r="L497" s="5"/>
    </row>
    <row r="498" spans="2:12" ht="18" customHeight="1">
      <c r="B498" s="5"/>
      <c r="D498" s="5"/>
      <c r="F498" s="5"/>
      <c r="H498" s="5"/>
      <c r="J498" s="5"/>
      <c r="L498" s="5"/>
    </row>
    <row r="499" spans="2:12" ht="18" customHeight="1">
      <c r="B499" s="5"/>
      <c r="D499" s="5"/>
      <c r="F499" s="5"/>
      <c r="H499" s="5"/>
      <c r="J499" s="5"/>
      <c r="L499" s="5"/>
    </row>
    <row r="500" spans="2:12" ht="18" customHeight="1">
      <c r="B500" s="5"/>
      <c r="D500" s="5"/>
      <c r="F500" s="5"/>
      <c r="H500" s="5"/>
      <c r="J500" s="5"/>
      <c r="L500" s="5"/>
    </row>
    <row r="501" spans="2:12" ht="18" customHeight="1">
      <c r="B501" s="5"/>
      <c r="D501" s="5"/>
      <c r="F501" s="5"/>
      <c r="H501" s="5"/>
      <c r="J501" s="5"/>
      <c r="L501" s="5"/>
    </row>
    <row r="502" spans="2:12" ht="18" customHeight="1">
      <c r="B502" s="5"/>
      <c r="D502" s="5"/>
      <c r="F502" s="5"/>
      <c r="H502" s="5"/>
      <c r="J502" s="5"/>
      <c r="L502" s="5"/>
    </row>
    <row r="503" spans="2:12" ht="18" customHeight="1">
      <c r="B503" s="5"/>
      <c r="D503" s="5"/>
      <c r="F503" s="5"/>
      <c r="H503" s="5"/>
      <c r="J503" s="5"/>
      <c r="L503" s="5"/>
    </row>
    <row r="504" spans="2:12" ht="18" customHeight="1">
      <c r="B504" s="5"/>
      <c r="D504" s="5"/>
      <c r="F504" s="5"/>
      <c r="H504" s="5"/>
      <c r="J504" s="5"/>
      <c r="L504" s="5"/>
    </row>
    <row r="505" spans="2:12" ht="18" customHeight="1">
      <c r="B505" s="5"/>
      <c r="D505" s="5"/>
      <c r="F505" s="5"/>
      <c r="H505" s="5"/>
      <c r="J505" s="5"/>
      <c r="L505" s="5"/>
    </row>
    <row r="506" spans="2:12" ht="18" customHeight="1">
      <c r="B506" s="5"/>
      <c r="D506" s="5"/>
      <c r="F506" s="5"/>
      <c r="H506" s="5"/>
      <c r="J506" s="5"/>
      <c r="L506" s="5"/>
    </row>
    <row r="507" spans="2:12" ht="18" customHeight="1">
      <c r="B507" s="5"/>
      <c r="D507" s="5"/>
      <c r="F507" s="5"/>
      <c r="H507" s="5"/>
      <c r="J507" s="5"/>
      <c r="L507" s="5"/>
    </row>
    <row r="508" spans="2:12" ht="18" customHeight="1">
      <c r="B508" s="5"/>
      <c r="D508" s="5"/>
      <c r="F508" s="5"/>
      <c r="H508" s="5"/>
      <c r="J508" s="5"/>
      <c r="L508" s="5"/>
    </row>
    <row r="509" spans="2:12" ht="18" customHeight="1">
      <c r="B509" s="5"/>
      <c r="D509" s="5"/>
      <c r="F509" s="5"/>
      <c r="H509" s="5"/>
      <c r="J509" s="5"/>
      <c r="L509" s="5"/>
    </row>
    <row r="510" spans="2:12" ht="18" customHeight="1">
      <c r="B510" s="5"/>
      <c r="D510" s="5"/>
      <c r="F510" s="5"/>
      <c r="H510" s="5"/>
      <c r="J510" s="5"/>
      <c r="L510" s="5"/>
    </row>
    <row r="511" spans="2:12" ht="18" customHeight="1">
      <c r="B511" s="5"/>
      <c r="D511" s="5"/>
      <c r="F511" s="5"/>
      <c r="H511" s="5"/>
      <c r="J511" s="5"/>
      <c r="L511" s="5"/>
    </row>
    <row r="512" spans="2:12" ht="18" customHeight="1">
      <c r="B512" s="5"/>
      <c r="D512" s="5"/>
      <c r="F512" s="5"/>
      <c r="H512" s="5"/>
      <c r="J512" s="5"/>
      <c r="L512" s="5"/>
    </row>
    <row r="513" spans="2:12" ht="18" customHeight="1">
      <c r="B513" s="5"/>
      <c r="D513" s="5"/>
      <c r="F513" s="5"/>
      <c r="H513" s="5"/>
      <c r="J513" s="5"/>
      <c r="L513" s="5"/>
    </row>
    <row r="514" spans="2:12" ht="18" customHeight="1">
      <c r="B514" s="5"/>
      <c r="D514" s="5"/>
      <c r="F514" s="5"/>
      <c r="H514" s="5"/>
      <c r="J514" s="5"/>
      <c r="L514" s="5"/>
    </row>
    <row r="515" spans="2:12" ht="18" customHeight="1">
      <c r="B515" s="5"/>
      <c r="D515" s="5"/>
      <c r="F515" s="5"/>
      <c r="H515" s="5"/>
      <c r="J515" s="5"/>
      <c r="L515" s="5"/>
    </row>
    <row r="516" spans="2:12" ht="18" customHeight="1">
      <c r="B516" s="5"/>
      <c r="D516" s="5"/>
      <c r="F516" s="5"/>
      <c r="H516" s="5"/>
      <c r="J516" s="5"/>
      <c r="L516" s="5"/>
    </row>
    <row r="517" spans="2:12" ht="18" customHeight="1">
      <c r="B517" s="5"/>
      <c r="D517" s="5"/>
      <c r="F517" s="5"/>
      <c r="H517" s="5"/>
      <c r="J517" s="5"/>
      <c r="L517" s="5"/>
    </row>
    <row r="518" spans="2:12" ht="18" customHeight="1">
      <c r="B518" s="5"/>
      <c r="D518" s="5"/>
      <c r="F518" s="5"/>
      <c r="H518" s="5"/>
      <c r="J518" s="5"/>
      <c r="L518" s="5"/>
    </row>
    <row r="519" spans="2:12" ht="18" customHeight="1">
      <c r="B519" s="5"/>
      <c r="D519" s="5"/>
      <c r="F519" s="5"/>
      <c r="H519" s="5"/>
      <c r="J519" s="5"/>
      <c r="L519" s="5"/>
    </row>
    <row r="520" spans="2:12" ht="18" customHeight="1">
      <c r="B520" s="5"/>
      <c r="D520" s="5"/>
      <c r="F520" s="5"/>
      <c r="H520" s="5"/>
      <c r="J520" s="5"/>
      <c r="L520" s="5"/>
    </row>
    <row r="521" spans="2:12" ht="18" customHeight="1">
      <c r="B521" s="5"/>
      <c r="D521" s="5"/>
      <c r="F521" s="5"/>
      <c r="H521" s="5"/>
      <c r="J521" s="5"/>
      <c r="L521" s="5"/>
    </row>
    <row r="522" spans="2:12" ht="18" customHeight="1">
      <c r="B522" s="5"/>
      <c r="D522" s="5"/>
      <c r="F522" s="5"/>
      <c r="H522" s="5"/>
      <c r="J522" s="5"/>
      <c r="L522" s="5"/>
    </row>
    <row r="523" spans="2:12" ht="18" customHeight="1">
      <c r="B523" s="5"/>
      <c r="D523" s="5"/>
      <c r="F523" s="5"/>
      <c r="H523" s="5"/>
      <c r="J523" s="5"/>
      <c r="L523" s="5"/>
    </row>
    <row r="524" spans="2:12" ht="18" customHeight="1">
      <c r="B524" s="5"/>
      <c r="D524" s="5"/>
      <c r="F524" s="5"/>
      <c r="H524" s="5"/>
      <c r="J524" s="5"/>
      <c r="L524" s="5"/>
    </row>
    <row r="525" spans="2:12" ht="18" customHeight="1">
      <c r="B525" s="5"/>
      <c r="D525" s="5"/>
      <c r="F525" s="5"/>
      <c r="H525" s="5"/>
      <c r="J525" s="5"/>
      <c r="L525" s="5"/>
    </row>
    <row r="526" spans="2:12" ht="18" customHeight="1">
      <c r="B526" s="5"/>
      <c r="D526" s="5"/>
      <c r="F526" s="5"/>
      <c r="H526" s="5"/>
      <c r="J526" s="5"/>
      <c r="L526" s="5"/>
    </row>
    <row r="527" spans="2:12" ht="18" customHeight="1">
      <c r="B527" s="5"/>
      <c r="D527" s="5"/>
      <c r="F527" s="5"/>
      <c r="H527" s="5"/>
      <c r="J527" s="5"/>
      <c r="L527" s="5"/>
    </row>
    <row r="528" spans="2:12" ht="18" customHeight="1">
      <c r="B528" s="5"/>
      <c r="D528" s="5"/>
      <c r="F528" s="5"/>
      <c r="H528" s="5"/>
      <c r="J528" s="5"/>
      <c r="L528" s="5"/>
    </row>
    <row r="529" spans="2:12" ht="18" customHeight="1">
      <c r="B529" s="5"/>
      <c r="D529" s="5"/>
      <c r="F529" s="5"/>
      <c r="H529" s="5"/>
      <c r="J529" s="5"/>
      <c r="L529" s="5"/>
    </row>
    <row r="530" spans="2:12" ht="18" customHeight="1">
      <c r="B530" s="5"/>
      <c r="D530" s="5"/>
      <c r="F530" s="5"/>
      <c r="H530" s="5"/>
      <c r="J530" s="5"/>
      <c r="L530" s="5"/>
    </row>
    <row r="531" spans="2:12" ht="18" customHeight="1">
      <c r="B531" s="5"/>
      <c r="D531" s="5"/>
      <c r="F531" s="5"/>
      <c r="H531" s="5"/>
      <c r="J531" s="5"/>
      <c r="L531" s="5"/>
    </row>
    <row r="532" spans="2:12" ht="18" customHeight="1">
      <c r="B532" s="5"/>
      <c r="D532" s="5"/>
      <c r="F532" s="5"/>
      <c r="H532" s="5"/>
      <c r="J532" s="5"/>
      <c r="L532" s="5"/>
    </row>
    <row r="533" spans="2:12" ht="18" customHeight="1">
      <c r="B533" s="5"/>
      <c r="D533" s="5"/>
      <c r="F533" s="5"/>
      <c r="H533" s="5"/>
      <c r="J533" s="5"/>
      <c r="L533" s="5"/>
    </row>
    <row r="534" spans="2:12" ht="18" customHeight="1">
      <c r="B534" s="5"/>
      <c r="D534" s="5"/>
      <c r="F534" s="5"/>
      <c r="H534" s="5"/>
      <c r="J534" s="5"/>
      <c r="L534" s="5"/>
    </row>
    <row r="535" spans="2:12" ht="18" customHeight="1">
      <c r="B535" s="5"/>
      <c r="D535" s="5"/>
      <c r="F535" s="5"/>
      <c r="H535" s="5"/>
      <c r="J535" s="5"/>
      <c r="L535" s="5"/>
    </row>
    <row r="536" spans="2:12" ht="18" customHeight="1">
      <c r="B536" s="5"/>
      <c r="D536" s="5"/>
      <c r="F536" s="5"/>
      <c r="H536" s="5"/>
      <c r="J536" s="5"/>
      <c r="L536" s="5"/>
    </row>
    <row r="537" spans="2:12" ht="18" customHeight="1">
      <c r="B537" s="5"/>
      <c r="D537" s="5"/>
      <c r="F537" s="5"/>
      <c r="H537" s="5"/>
      <c r="J537" s="5"/>
      <c r="L537" s="5"/>
    </row>
    <row r="538" spans="2:12" ht="18" customHeight="1">
      <c r="B538" s="5"/>
      <c r="D538" s="5"/>
      <c r="F538" s="5"/>
      <c r="H538" s="5"/>
      <c r="J538" s="5"/>
      <c r="L538" s="5"/>
    </row>
    <row r="539" spans="2:12" ht="18" customHeight="1">
      <c r="B539" s="5"/>
      <c r="D539" s="5"/>
      <c r="F539" s="5"/>
      <c r="H539" s="5"/>
      <c r="J539" s="5"/>
      <c r="L539" s="5"/>
    </row>
    <row r="540" spans="2:12" ht="18" customHeight="1">
      <c r="B540" s="5"/>
      <c r="D540" s="5"/>
      <c r="F540" s="5"/>
      <c r="H540" s="5"/>
      <c r="J540" s="5"/>
      <c r="L540" s="5"/>
    </row>
    <row r="541" spans="2:12" ht="18" customHeight="1">
      <c r="B541" s="5"/>
      <c r="D541" s="5"/>
      <c r="F541" s="5"/>
      <c r="H541" s="5"/>
      <c r="J541" s="5"/>
      <c r="L541" s="5"/>
    </row>
    <row r="542" spans="2:12" ht="18" customHeight="1">
      <c r="B542" s="5"/>
      <c r="D542" s="5"/>
      <c r="F542" s="5"/>
      <c r="H542" s="5"/>
      <c r="J542" s="5"/>
      <c r="L542" s="5"/>
    </row>
    <row r="543" spans="2:12" ht="18" customHeight="1">
      <c r="B543" s="5"/>
      <c r="D543" s="5"/>
      <c r="F543" s="5"/>
      <c r="H543" s="5"/>
      <c r="J543" s="5"/>
      <c r="L543" s="5"/>
    </row>
    <row r="544" spans="2:12" ht="18" customHeight="1">
      <c r="B544" s="5"/>
      <c r="D544" s="5"/>
      <c r="F544" s="5"/>
      <c r="H544" s="5"/>
      <c r="J544" s="5"/>
      <c r="L544" s="5"/>
    </row>
    <row r="545" spans="2:12" ht="18" customHeight="1">
      <c r="B545" s="5"/>
      <c r="D545" s="5"/>
      <c r="F545" s="5"/>
      <c r="H545" s="5"/>
      <c r="J545" s="5"/>
      <c r="L545" s="5"/>
    </row>
    <row r="546" spans="2:12" ht="18" customHeight="1">
      <c r="B546" s="5"/>
      <c r="D546" s="5"/>
      <c r="F546" s="5"/>
      <c r="H546" s="5"/>
      <c r="J546" s="5"/>
      <c r="L546" s="5"/>
    </row>
    <row r="547" spans="2:12" ht="18" customHeight="1">
      <c r="B547" s="5"/>
      <c r="D547" s="5"/>
      <c r="F547" s="5"/>
      <c r="H547" s="5"/>
      <c r="J547" s="5"/>
      <c r="L547" s="5"/>
    </row>
    <row r="548" spans="2:12" ht="18" customHeight="1">
      <c r="B548" s="5"/>
      <c r="D548" s="5"/>
      <c r="F548" s="5"/>
      <c r="H548" s="5"/>
      <c r="J548" s="5"/>
      <c r="L548" s="5"/>
    </row>
    <row r="549" spans="2:12" ht="18" customHeight="1">
      <c r="B549" s="5"/>
      <c r="D549" s="5"/>
      <c r="F549" s="5"/>
      <c r="H549" s="5"/>
      <c r="J549" s="5"/>
      <c r="L549" s="5"/>
    </row>
    <row r="550" spans="2:12" ht="18" customHeight="1">
      <c r="B550" s="5"/>
      <c r="D550" s="5"/>
      <c r="F550" s="5"/>
      <c r="H550" s="5"/>
      <c r="J550" s="5"/>
      <c r="L550" s="5"/>
    </row>
    <row r="551" spans="2:12" ht="18" customHeight="1">
      <c r="B551" s="5"/>
      <c r="D551" s="5"/>
      <c r="F551" s="5"/>
      <c r="H551" s="5"/>
      <c r="J551" s="5"/>
      <c r="L551" s="5"/>
    </row>
    <row r="552" spans="2:12" ht="18" customHeight="1">
      <c r="B552" s="5"/>
      <c r="D552" s="5"/>
      <c r="F552" s="5"/>
      <c r="H552" s="5"/>
      <c r="J552" s="5"/>
      <c r="L552" s="5"/>
    </row>
    <row r="553" spans="2:12" ht="18" customHeight="1">
      <c r="B553" s="5"/>
      <c r="D553" s="5"/>
      <c r="F553" s="5"/>
      <c r="H553" s="5"/>
      <c r="J553" s="5"/>
      <c r="L553" s="5"/>
    </row>
    <row r="554" spans="2:12" ht="18" customHeight="1">
      <c r="B554" s="5"/>
      <c r="D554" s="5"/>
      <c r="F554" s="5"/>
      <c r="H554" s="5"/>
      <c r="J554" s="5"/>
      <c r="L554" s="5"/>
    </row>
    <row r="555" spans="2:12" ht="18" customHeight="1">
      <c r="B555" s="5"/>
      <c r="D555" s="5"/>
      <c r="F555" s="5"/>
      <c r="H555" s="5"/>
      <c r="J555" s="5"/>
      <c r="L555" s="5"/>
    </row>
    <row r="556" spans="2:12" ht="18" customHeight="1">
      <c r="B556" s="5"/>
      <c r="D556" s="5"/>
      <c r="F556" s="5"/>
      <c r="H556" s="5"/>
      <c r="J556" s="5"/>
      <c r="L556" s="5"/>
    </row>
    <row r="557" spans="2:12" ht="18" customHeight="1">
      <c r="B557" s="5"/>
      <c r="D557" s="5"/>
      <c r="F557" s="5"/>
      <c r="H557" s="5"/>
      <c r="J557" s="5"/>
      <c r="L557" s="5"/>
    </row>
    <row r="558" spans="2:12" ht="18" customHeight="1">
      <c r="B558" s="5"/>
      <c r="D558" s="5"/>
      <c r="F558" s="5"/>
      <c r="H558" s="5"/>
      <c r="J558" s="5"/>
      <c r="L558" s="5"/>
    </row>
    <row r="559" spans="2:12" ht="18" customHeight="1">
      <c r="B559" s="5"/>
      <c r="D559" s="5"/>
      <c r="F559" s="5"/>
      <c r="H559" s="5"/>
      <c r="J559" s="5"/>
      <c r="L559" s="5"/>
    </row>
    <row r="560" spans="2:12" ht="18" customHeight="1">
      <c r="B560" s="5"/>
      <c r="D560" s="5"/>
      <c r="F560" s="5"/>
      <c r="H560" s="5"/>
      <c r="J560" s="5"/>
      <c r="L560" s="5"/>
    </row>
    <row r="561" spans="2:12" ht="18" customHeight="1">
      <c r="B561" s="5"/>
      <c r="D561" s="5"/>
      <c r="F561" s="5"/>
      <c r="H561" s="5"/>
      <c r="J561" s="5"/>
      <c r="L561" s="5"/>
    </row>
    <row r="562" spans="2:12" ht="18" customHeight="1">
      <c r="B562" s="5"/>
      <c r="D562" s="5"/>
      <c r="F562" s="5"/>
      <c r="H562" s="5"/>
      <c r="J562" s="5"/>
      <c r="L562" s="5"/>
    </row>
    <row r="563" spans="2:12" ht="18" customHeight="1">
      <c r="B563" s="5"/>
      <c r="D563" s="5"/>
      <c r="F563" s="5"/>
      <c r="H563" s="5"/>
      <c r="J563" s="5"/>
      <c r="L563" s="5"/>
    </row>
    <row r="564" spans="2:12" ht="18" customHeight="1">
      <c r="B564" s="5"/>
      <c r="D564" s="5"/>
      <c r="F564" s="5"/>
      <c r="H564" s="5"/>
      <c r="J564" s="5"/>
      <c r="L564" s="5"/>
    </row>
    <row r="565" spans="2:12" ht="18" customHeight="1">
      <c r="B565" s="5"/>
      <c r="D565" s="5"/>
      <c r="F565" s="5"/>
      <c r="H565" s="5"/>
      <c r="J565" s="5"/>
      <c r="L565" s="5"/>
    </row>
    <row r="566" spans="2:12" ht="18" customHeight="1">
      <c r="B566" s="5"/>
      <c r="D566" s="5"/>
      <c r="F566" s="5"/>
      <c r="H566" s="5"/>
      <c r="J566" s="5"/>
      <c r="L566" s="5"/>
    </row>
    <row r="567" spans="2:12" ht="18" customHeight="1">
      <c r="B567" s="5"/>
      <c r="D567" s="5"/>
      <c r="F567" s="5"/>
      <c r="H567" s="5"/>
      <c r="J567" s="5"/>
      <c r="L567" s="5"/>
    </row>
    <row r="568" spans="2:12" ht="18" customHeight="1">
      <c r="B568" s="5"/>
      <c r="D568" s="5"/>
      <c r="F568" s="5"/>
      <c r="H568" s="5"/>
      <c r="J568" s="5"/>
      <c r="L568" s="5"/>
    </row>
    <row r="569" spans="2:12" ht="18" customHeight="1">
      <c r="B569" s="5"/>
      <c r="D569" s="5"/>
      <c r="F569" s="5"/>
      <c r="H569" s="5"/>
      <c r="J569" s="5"/>
      <c r="L569" s="5"/>
    </row>
    <row r="570" spans="2:12" ht="18" customHeight="1">
      <c r="B570" s="5"/>
      <c r="D570" s="5"/>
      <c r="F570" s="5"/>
      <c r="H570" s="5"/>
      <c r="J570" s="5"/>
      <c r="L570" s="5"/>
    </row>
    <row r="571" spans="2:12" ht="18" customHeight="1">
      <c r="B571" s="5"/>
      <c r="D571" s="5"/>
      <c r="F571" s="5"/>
      <c r="H571" s="5"/>
      <c r="J571" s="5"/>
      <c r="L571" s="5"/>
    </row>
    <row r="572" spans="2:12" ht="18" customHeight="1">
      <c r="B572" s="5"/>
      <c r="D572" s="5"/>
      <c r="F572" s="5"/>
      <c r="H572" s="5"/>
      <c r="J572" s="5"/>
      <c r="L572" s="5"/>
    </row>
    <row r="573" spans="2:12" ht="18" customHeight="1">
      <c r="B573" s="5"/>
      <c r="D573" s="5"/>
      <c r="F573" s="5"/>
      <c r="H573" s="5"/>
      <c r="J573" s="5"/>
      <c r="L573" s="5"/>
    </row>
    <row r="574" spans="2:12" ht="18" customHeight="1">
      <c r="B574" s="5"/>
      <c r="D574" s="5"/>
      <c r="F574" s="5"/>
      <c r="H574" s="5"/>
      <c r="J574" s="5"/>
      <c r="L574" s="5"/>
    </row>
    <row r="575" spans="2:12" ht="18" customHeight="1">
      <c r="B575" s="5"/>
      <c r="D575" s="5"/>
      <c r="F575" s="5"/>
      <c r="H575" s="5"/>
      <c r="J575" s="5"/>
      <c r="L575" s="5"/>
    </row>
    <row r="576" spans="2:12" ht="18" customHeight="1">
      <c r="B576" s="5"/>
      <c r="D576" s="5"/>
      <c r="F576" s="5"/>
      <c r="H576" s="5"/>
      <c r="J576" s="5"/>
      <c r="L576" s="5"/>
    </row>
    <row r="577" spans="2:12" ht="18" customHeight="1">
      <c r="B577" s="5"/>
      <c r="D577" s="5"/>
      <c r="F577" s="5"/>
      <c r="H577" s="5"/>
      <c r="J577" s="5"/>
      <c r="L577" s="5"/>
    </row>
    <row r="578" spans="2:12" ht="18" customHeight="1">
      <c r="B578" s="5"/>
      <c r="D578" s="5"/>
      <c r="F578" s="5"/>
      <c r="H578" s="5"/>
      <c r="J578" s="5"/>
      <c r="L578" s="5"/>
    </row>
    <row r="579" spans="2:12" ht="18" customHeight="1">
      <c r="B579" s="5"/>
      <c r="D579" s="5"/>
      <c r="F579" s="5"/>
      <c r="H579" s="5"/>
      <c r="J579" s="5"/>
      <c r="L579" s="5"/>
    </row>
    <row r="580" spans="2:12" ht="18" customHeight="1">
      <c r="B580" s="5"/>
      <c r="D580" s="5"/>
      <c r="F580" s="5"/>
      <c r="H580" s="5"/>
      <c r="J580" s="5"/>
      <c r="L580" s="5"/>
    </row>
    <row r="581" spans="2:12" ht="18" customHeight="1">
      <c r="B581" s="5"/>
      <c r="D581" s="5"/>
      <c r="F581" s="5"/>
      <c r="H581" s="5"/>
      <c r="J581" s="5"/>
      <c r="L581" s="5"/>
    </row>
    <row r="582" spans="2:12" ht="18" customHeight="1">
      <c r="B582" s="5"/>
      <c r="D582" s="5"/>
      <c r="F582" s="5"/>
      <c r="H582" s="5"/>
      <c r="J582" s="5"/>
      <c r="L582" s="5"/>
    </row>
    <row r="583" spans="2:12" ht="18" customHeight="1">
      <c r="B583" s="5"/>
      <c r="D583" s="5"/>
      <c r="F583" s="5"/>
      <c r="H583" s="5"/>
      <c r="J583" s="5"/>
      <c r="L583" s="5"/>
    </row>
    <row r="584" spans="2:12" ht="18" customHeight="1">
      <c r="B584" s="5"/>
      <c r="D584" s="5"/>
      <c r="F584" s="5"/>
      <c r="H584" s="5"/>
      <c r="J584" s="5"/>
      <c r="L584" s="5"/>
    </row>
    <row r="585" spans="2:12" ht="18" customHeight="1">
      <c r="B585" s="5"/>
      <c r="D585" s="5"/>
      <c r="F585" s="5"/>
      <c r="H585" s="5"/>
      <c r="J585" s="5"/>
      <c r="L585" s="5"/>
    </row>
    <row r="586" spans="2:12" ht="18" customHeight="1">
      <c r="B586" s="5"/>
      <c r="D586" s="5"/>
      <c r="F586" s="5"/>
      <c r="H586" s="5"/>
      <c r="J586" s="5"/>
      <c r="L586" s="5"/>
    </row>
    <row r="587" spans="2:12" ht="18" customHeight="1">
      <c r="B587" s="5"/>
      <c r="D587" s="5"/>
      <c r="F587" s="5"/>
      <c r="H587" s="5"/>
      <c r="J587" s="5"/>
      <c r="L587" s="5"/>
    </row>
    <row r="588" spans="2:12" ht="18" customHeight="1">
      <c r="B588" s="5"/>
      <c r="D588" s="5"/>
      <c r="F588" s="5"/>
      <c r="H588" s="5"/>
      <c r="J588" s="5"/>
      <c r="L588" s="5"/>
    </row>
    <row r="589" spans="2:12" ht="18" customHeight="1">
      <c r="B589" s="5"/>
      <c r="D589" s="5"/>
      <c r="F589" s="5"/>
      <c r="H589" s="5"/>
      <c r="J589" s="5"/>
      <c r="L589" s="5"/>
    </row>
    <row r="590" spans="2:12" ht="18" customHeight="1">
      <c r="B590" s="5"/>
      <c r="D590" s="5"/>
      <c r="F590" s="5"/>
      <c r="H590" s="5"/>
      <c r="J590" s="5"/>
      <c r="L590" s="5"/>
    </row>
    <row r="591" spans="2:12" ht="18" customHeight="1">
      <c r="B591" s="5"/>
      <c r="D591" s="5"/>
      <c r="F591" s="5"/>
      <c r="H591" s="5"/>
      <c r="J591" s="5"/>
      <c r="L591" s="5"/>
    </row>
    <row r="592" spans="2:12" ht="18" customHeight="1">
      <c r="B592" s="5"/>
      <c r="D592" s="5"/>
      <c r="F592" s="5"/>
      <c r="H592" s="5"/>
      <c r="J592" s="5"/>
      <c r="L592" s="5"/>
    </row>
    <row r="593" spans="2:12" ht="18" customHeight="1">
      <c r="B593" s="5"/>
      <c r="D593" s="5"/>
      <c r="F593" s="5"/>
      <c r="H593" s="5"/>
      <c r="J593" s="5"/>
      <c r="L593" s="5"/>
    </row>
    <row r="594" spans="2:12" ht="18" customHeight="1">
      <c r="B594" s="5"/>
      <c r="D594" s="5"/>
      <c r="F594" s="5"/>
      <c r="H594" s="5"/>
      <c r="J594" s="5"/>
      <c r="L594" s="5"/>
    </row>
    <row r="595" spans="2:12" ht="18" customHeight="1">
      <c r="B595" s="5"/>
      <c r="D595" s="5"/>
      <c r="F595" s="5"/>
      <c r="H595" s="5"/>
      <c r="J595" s="5"/>
      <c r="L595" s="5"/>
    </row>
    <row r="596" spans="2:12" ht="18" customHeight="1">
      <c r="B596" s="5"/>
      <c r="D596" s="5"/>
      <c r="F596" s="5"/>
      <c r="H596" s="5"/>
      <c r="J596" s="5"/>
      <c r="L596" s="5"/>
    </row>
    <row r="597" spans="2:12" ht="18" customHeight="1">
      <c r="B597" s="5"/>
      <c r="D597" s="5"/>
      <c r="F597" s="5"/>
      <c r="H597" s="5"/>
      <c r="J597" s="5"/>
      <c r="L597" s="5"/>
    </row>
    <row r="598" spans="2:12" ht="18" customHeight="1">
      <c r="B598" s="5"/>
      <c r="D598" s="5"/>
      <c r="F598" s="5"/>
      <c r="H598" s="5"/>
      <c r="J598" s="5"/>
      <c r="L598" s="5"/>
    </row>
    <row r="599" spans="2:12" ht="18" customHeight="1">
      <c r="B599" s="5"/>
      <c r="D599" s="5"/>
      <c r="F599" s="5"/>
      <c r="H599" s="5"/>
      <c r="J599" s="5"/>
      <c r="L599" s="5"/>
    </row>
    <row r="600" spans="2:12" ht="18" customHeight="1">
      <c r="B600" s="5"/>
      <c r="D600" s="5"/>
      <c r="F600" s="5"/>
      <c r="H600" s="5"/>
      <c r="J600" s="5"/>
      <c r="L600" s="5"/>
    </row>
    <row r="601" spans="2:12" ht="18" customHeight="1">
      <c r="B601" s="5"/>
      <c r="D601" s="5"/>
      <c r="F601" s="5"/>
      <c r="H601" s="5"/>
      <c r="J601" s="5"/>
      <c r="L601" s="5"/>
    </row>
    <row r="602" spans="2:12" ht="18" customHeight="1">
      <c r="B602" s="5"/>
      <c r="D602" s="5"/>
      <c r="F602" s="5"/>
      <c r="H602" s="5"/>
      <c r="J602" s="5"/>
      <c r="L602" s="5"/>
    </row>
    <row r="603" spans="2:12" ht="18" customHeight="1">
      <c r="B603" s="5"/>
      <c r="D603" s="5"/>
      <c r="F603" s="5"/>
      <c r="H603" s="5"/>
      <c r="J603" s="5"/>
      <c r="L603" s="5"/>
    </row>
    <row r="604" spans="2:12" ht="18" customHeight="1">
      <c r="B604" s="5"/>
      <c r="D604" s="5"/>
      <c r="F604" s="5"/>
      <c r="H604" s="5"/>
      <c r="J604" s="5"/>
      <c r="L604" s="5"/>
    </row>
    <row r="605" spans="2:12" ht="18" customHeight="1">
      <c r="B605" s="5"/>
      <c r="D605" s="5"/>
      <c r="F605" s="5"/>
      <c r="H605" s="5"/>
      <c r="J605" s="5"/>
      <c r="L605" s="5"/>
    </row>
    <row r="606" spans="2:12" ht="18" customHeight="1">
      <c r="B606" s="5"/>
      <c r="D606" s="5"/>
      <c r="F606" s="5"/>
      <c r="H606" s="5"/>
      <c r="J606" s="5"/>
      <c r="L606" s="5"/>
    </row>
    <row r="607" spans="2:12" ht="18" customHeight="1">
      <c r="B607" s="5"/>
      <c r="D607" s="5"/>
      <c r="F607" s="5"/>
      <c r="H607" s="5"/>
      <c r="J607" s="5"/>
      <c r="L607" s="5"/>
    </row>
    <row r="608" spans="2:12" ht="18" customHeight="1">
      <c r="B608" s="5"/>
      <c r="D608" s="5"/>
      <c r="F608" s="5"/>
      <c r="H608" s="5"/>
      <c r="J608" s="5"/>
      <c r="L608" s="5"/>
    </row>
    <row r="609" spans="2:12" ht="18" customHeight="1">
      <c r="B609" s="5"/>
      <c r="D609" s="5"/>
      <c r="F609" s="5"/>
      <c r="H609" s="5"/>
      <c r="J609" s="5"/>
      <c r="L609" s="5"/>
    </row>
    <row r="610" spans="2:12" ht="18" customHeight="1">
      <c r="B610" s="5"/>
      <c r="D610" s="5"/>
      <c r="F610" s="5"/>
      <c r="H610" s="5"/>
      <c r="J610" s="5"/>
      <c r="L610" s="5"/>
    </row>
    <row r="611" spans="2:12" ht="18" customHeight="1">
      <c r="B611" s="5"/>
      <c r="D611" s="5"/>
      <c r="F611" s="5"/>
      <c r="H611" s="5"/>
      <c r="J611" s="5"/>
      <c r="L611" s="5"/>
    </row>
    <row r="612" spans="2:12" ht="18" customHeight="1">
      <c r="B612" s="5"/>
      <c r="D612" s="5"/>
      <c r="F612" s="5"/>
      <c r="H612" s="5"/>
      <c r="J612" s="5"/>
      <c r="L612" s="5"/>
    </row>
    <row r="613" spans="2:12" ht="18" customHeight="1">
      <c r="B613" s="5"/>
      <c r="D613" s="5"/>
      <c r="F613" s="5"/>
      <c r="H613" s="5"/>
      <c r="J613" s="5"/>
      <c r="L613" s="5"/>
    </row>
    <row r="614" spans="2:12" ht="18" customHeight="1">
      <c r="B614" s="5"/>
      <c r="D614" s="5"/>
      <c r="F614" s="5"/>
      <c r="H614" s="5"/>
      <c r="J614" s="5"/>
      <c r="L614" s="5"/>
    </row>
    <row r="615" spans="2:12" ht="18" customHeight="1">
      <c r="B615" s="5"/>
      <c r="D615" s="5"/>
      <c r="F615" s="5"/>
      <c r="H615" s="5"/>
      <c r="J615" s="5"/>
      <c r="L615" s="5"/>
    </row>
    <row r="616" spans="2:12" ht="18" customHeight="1">
      <c r="B616" s="5"/>
      <c r="D616" s="5"/>
      <c r="F616" s="5"/>
      <c r="H616" s="5"/>
      <c r="J616" s="5"/>
      <c r="L616" s="5"/>
    </row>
    <row r="617" spans="2:12" ht="18" customHeight="1">
      <c r="B617" s="5"/>
      <c r="D617" s="5"/>
      <c r="F617" s="5"/>
      <c r="H617" s="5"/>
      <c r="J617" s="5"/>
      <c r="L617" s="5"/>
    </row>
    <row r="618" spans="2:12" ht="18" customHeight="1">
      <c r="B618" s="5"/>
      <c r="D618" s="5"/>
      <c r="F618" s="5"/>
      <c r="H618" s="5"/>
      <c r="J618" s="5"/>
      <c r="L618" s="5"/>
    </row>
    <row r="619" spans="2:12" ht="18" customHeight="1">
      <c r="B619" s="5"/>
      <c r="D619" s="5"/>
      <c r="F619" s="5"/>
      <c r="H619" s="5"/>
      <c r="J619" s="5"/>
      <c r="L619" s="5"/>
    </row>
    <row r="620" spans="2:12" ht="18" customHeight="1">
      <c r="B620" s="5"/>
      <c r="D620" s="5"/>
      <c r="F620" s="5"/>
      <c r="H620" s="5"/>
      <c r="J620" s="5"/>
      <c r="L620" s="5"/>
    </row>
    <row r="621" spans="2:12" ht="18" customHeight="1">
      <c r="B621" s="5"/>
      <c r="D621" s="5"/>
      <c r="F621" s="5"/>
      <c r="H621" s="5"/>
      <c r="J621" s="5"/>
      <c r="L621" s="5"/>
    </row>
    <row r="622" spans="2:12" ht="18" customHeight="1">
      <c r="B622" s="5"/>
      <c r="D622" s="5"/>
      <c r="F622" s="5"/>
      <c r="H622" s="5"/>
      <c r="J622" s="5"/>
      <c r="L622" s="5"/>
    </row>
    <row r="623" spans="2:12" ht="18" customHeight="1">
      <c r="B623" s="5"/>
      <c r="D623" s="5"/>
      <c r="F623" s="5"/>
      <c r="H623" s="5"/>
      <c r="J623" s="5"/>
      <c r="L623" s="5"/>
    </row>
    <row r="624" spans="2:12" ht="18" customHeight="1">
      <c r="B624" s="5"/>
      <c r="D624" s="5"/>
      <c r="F624" s="5"/>
      <c r="H624" s="5"/>
      <c r="J624" s="5"/>
      <c r="L624" s="5"/>
    </row>
    <row r="625" spans="2:12" ht="18" customHeight="1">
      <c r="B625" s="5"/>
      <c r="D625" s="5"/>
      <c r="F625" s="5"/>
      <c r="H625" s="5"/>
      <c r="J625" s="5"/>
      <c r="L625" s="5"/>
    </row>
    <row r="626" spans="2:12" ht="18" customHeight="1">
      <c r="B626" s="5"/>
      <c r="D626" s="5"/>
      <c r="F626" s="5"/>
      <c r="H626" s="5"/>
      <c r="J626" s="5"/>
      <c r="L626" s="5"/>
    </row>
    <row r="627" spans="2:12" ht="18" customHeight="1">
      <c r="B627" s="5"/>
      <c r="D627" s="5"/>
      <c r="F627" s="5"/>
      <c r="H627" s="5"/>
      <c r="J627" s="5"/>
      <c r="L627" s="5"/>
    </row>
    <row r="628" spans="2:12" ht="18" customHeight="1">
      <c r="B628" s="5"/>
      <c r="D628" s="5"/>
      <c r="F628" s="5"/>
      <c r="H628" s="5"/>
      <c r="J628" s="5"/>
      <c r="L628" s="5"/>
    </row>
    <row r="629" spans="2:12" ht="18" customHeight="1">
      <c r="B629" s="5"/>
      <c r="D629" s="5"/>
      <c r="F629" s="5"/>
      <c r="H629" s="5"/>
      <c r="J629" s="5"/>
      <c r="L629" s="5"/>
    </row>
    <row r="630" spans="2:12" ht="18" customHeight="1">
      <c r="B630" s="5"/>
      <c r="D630" s="5"/>
      <c r="F630" s="5"/>
      <c r="H630" s="5"/>
      <c r="J630" s="5"/>
      <c r="L630" s="5"/>
    </row>
    <row r="631" spans="2:12" ht="18" customHeight="1">
      <c r="B631" s="5"/>
      <c r="D631" s="5"/>
      <c r="F631" s="5"/>
      <c r="H631" s="5"/>
      <c r="J631" s="5"/>
      <c r="L631" s="5"/>
    </row>
    <row r="632" spans="2:12" ht="18" customHeight="1">
      <c r="B632" s="5"/>
      <c r="D632" s="5"/>
      <c r="F632" s="5"/>
      <c r="H632" s="5"/>
      <c r="J632" s="5"/>
      <c r="L632" s="5"/>
    </row>
    <row r="633" spans="2:12" ht="18" customHeight="1">
      <c r="B633" s="5"/>
      <c r="D633" s="5"/>
      <c r="F633" s="5"/>
      <c r="H633" s="5"/>
      <c r="J633" s="5"/>
      <c r="L633" s="5"/>
    </row>
    <row r="634" spans="2:12" ht="18" customHeight="1">
      <c r="B634" s="5"/>
      <c r="D634" s="5"/>
      <c r="F634" s="5"/>
      <c r="H634" s="5"/>
      <c r="J634" s="5"/>
      <c r="L634" s="5"/>
    </row>
    <row r="635" spans="2:12" ht="18" customHeight="1">
      <c r="B635" s="5"/>
      <c r="D635" s="5"/>
      <c r="F635" s="5"/>
      <c r="H635" s="5"/>
      <c r="J635" s="5"/>
      <c r="L635" s="5"/>
    </row>
    <row r="636" spans="2:12" ht="18" customHeight="1">
      <c r="B636" s="5"/>
      <c r="D636" s="5"/>
      <c r="F636" s="5"/>
      <c r="H636" s="5"/>
      <c r="J636" s="5"/>
      <c r="L636" s="5"/>
    </row>
    <row r="637" spans="2:12" ht="18" customHeight="1">
      <c r="B637" s="5"/>
      <c r="D637" s="5"/>
      <c r="F637" s="5"/>
      <c r="H637" s="5"/>
      <c r="J637" s="5"/>
      <c r="L637" s="5"/>
    </row>
    <row r="638" spans="2:12" ht="18" customHeight="1">
      <c r="B638" s="5"/>
      <c r="D638" s="5"/>
      <c r="F638" s="5"/>
      <c r="H638" s="5"/>
      <c r="J638" s="5"/>
      <c r="L638" s="5"/>
    </row>
    <row r="639" spans="2:12" ht="18" customHeight="1">
      <c r="B639" s="5"/>
      <c r="D639" s="5"/>
      <c r="F639" s="5"/>
      <c r="H639" s="5"/>
      <c r="J639" s="5"/>
      <c r="L639" s="5"/>
    </row>
    <row r="640" spans="2:12" ht="18" customHeight="1">
      <c r="B640" s="5"/>
      <c r="D640" s="5"/>
      <c r="F640" s="5"/>
      <c r="H640" s="5"/>
      <c r="J640" s="5"/>
      <c r="L640" s="5"/>
    </row>
    <row r="641" spans="2:12" ht="18" customHeight="1">
      <c r="B641" s="5"/>
      <c r="D641" s="5"/>
      <c r="F641" s="5"/>
      <c r="H641" s="5"/>
      <c r="J641" s="5"/>
      <c r="L641" s="5"/>
    </row>
    <row r="642" spans="2:12" ht="18" customHeight="1">
      <c r="B642" s="5"/>
      <c r="D642" s="5"/>
      <c r="F642" s="5"/>
      <c r="H642" s="5"/>
      <c r="J642" s="5"/>
      <c r="L642" s="5"/>
    </row>
    <row r="643" spans="2:12" ht="18" customHeight="1">
      <c r="B643" s="5"/>
      <c r="D643" s="5"/>
      <c r="F643" s="5"/>
      <c r="H643" s="5"/>
      <c r="J643" s="5"/>
      <c r="L643" s="5"/>
    </row>
    <row r="644" spans="2:12" ht="18" customHeight="1">
      <c r="B644" s="5"/>
      <c r="D644" s="5"/>
      <c r="F644" s="5"/>
      <c r="H644" s="5"/>
      <c r="J644" s="5"/>
      <c r="L644" s="5"/>
    </row>
    <row r="645" spans="2:12" ht="18" customHeight="1">
      <c r="B645" s="5"/>
      <c r="D645" s="5"/>
      <c r="F645" s="5"/>
      <c r="H645" s="5"/>
      <c r="J645" s="5"/>
      <c r="L645" s="5"/>
    </row>
    <row r="646" spans="2:12" ht="18" customHeight="1">
      <c r="B646" s="5"/>
      <c r="D646" s="5"/>
      <c r="F646" s="5"/>
      <c r="H646" s="5"/>
      <c r="J646" s="5"/>
      <c r="L646" s="5"/>
    </row>
    <row r="647" spans="2:12" ht="18" customHeight="1">
      <c r="B647" s="5"/>
      <c r="D647" s="5"/>
      <c r="F647" s="5"/>
      <c r="H647" s="5"/>
      <c r="J647" s="5"/>
      <c r="L647" s="5"/>
    </row>
    <row r="648" spans="2:12" ht="18" customHeight="1">
      <c r="B648" s="5"/>
      <c r="D648" s="5"/>
      <c r="F648" s="5"/>
      <c r="H648" s="5"/>
      <c r="J648" s="5"/>
      <c r="L648" s="5"/>
    </row>
    <row r="649" spans="2:12" ht="18" customHeight="1">
      <c r="B649" s="5"/>
      <c r="D649" s="5"/>
      <c r="F649" s="5"/>
      <c r="H649" s="5"/>
      <c r="J649" s="5"/>
      <c r="L649" s="5"/>
    </row>
    <row r="650" spans="2:12" ht="18" customHeight="1">
      <c r="B650" s="5"/>
      <c r="D650" s="5"/>
      <c r="F650" s="5"/>
      <c r="H650" s="5"/>
      <c r="J650" s="5"/>
      <c r="L650" s="5"/>
    </row>
    <row r="651" spans="2:12" ht="18" customHeight="1">
      <c r="B651" s="5"/>
      <c r="D651" s="5"/>
      <c r="F651" s="5"/>
      <c r="H651" s="5"/>
      <c r="J651" s="5"/>
      <c r="L651" s="5"/>
    </row>
    <row r="652" spans="2:12" ht="18" customHeight="1">
      <c r="B652" s="5"/>
      <c r="D652" s="5"/>
      <c r="F652" s="5"/>
      <c r="H652" s="5"/>
      <c r="J652" s="5"/>
      <c r="L652" s="5"/>
    </row>
    <row r="653" spans="2:12" ht="18" customHeight="1">
      <c r="B653" s="5"/>
      <c r="D653" s="5"/>
      <c r="F653" s="5"/>
      <c r="H653" s="5"/>
      <c r="J653" s="5"/>
      <c r="L653" s="5"/>
    </row>
    <row r="654" spans="2:12" ht="18" customHeight="1">
      <c r="B654" s="5"/>
      <c r="D654" s="5"/>
      <c r="F654" s="5"/>
      <c r="H654" s="5"/>
      <c r="J654" s="5"/>
      <c r="L654" s="5"/>
    </row>
    <row r="655" spans="2:12" ht="18" customHeight="1">
      <c r="B655" s="5"/>
      <c r="D655" s="5"/>
      <c r="F655" s="5"/>
      <c r="H655" s="5"/>
      <c r="J655" s="5"/>
      <c r="L655" s="5"/>
    </row>
    <row r="656" spans="2:12" ht="18" customHeight="1">
      <c r="B656" s="5"/>
      <c r="D656" s="5"/>
      <c r="F656" s="5"/>
      <c r="H656" s="5"/>
      <c r="J656" s="5"/>
      <c r="L656" s="5"/>
    </row>
    <row r="657" spans="2:12" ht="18" customHeight="1">
      <c r="B657" s="5"/>
      <c r="D657" s="5"/>
      <c r="F657" s="5"/>
      <c r="H657" s="5"/>
      <c r="J657" s="5"/>
      <c r="L657" s="5"/>
    </row>
    <row r="658" spans="2:12" ht="18" customHeight="1">
      <c r="B658" s="5"/>
      <c r="D658" s="5"/>
      <c r="F658" s="5"/>
      <c r="H658" s="5"/>
      <c r="J658" s="5"/>
      <c r="L658" s="5"/>
    </row>
    <row r="659" spans="2:12" ht="18" customHeight="1">
      <c r="B659" s="5"/>
      <c r="D659" s="5"/>
      <c r="F659" s="5"/>
      <c r="H659" s="5"/>
      <c r="J659" s="5"/>
      <c r="L659" s="5"/>
    </row>
    <row r="660" spans="2:12" ht="18" customHeight="1">
      <c r="B660" s="5"/>
      <c r="D660" s="5"/>
      <c r="F660" s="5"/>
      <c r="H660" s="5"/>
      <c r="J660" s="5"/>
      <c r="L660" s="5"/>
    </row>
    <row r="661" spans="2:12" ht="18" customHeight="1">
      <c r="B661" s="5"/>
      <c r="D661" s="5"/>
      <c r="F661" s="5"/>
      <c r="H661" s="5"/>
      <c r="J661" s="5"/>
      <c r="L661" s="5"/>
    </row>
    <row r="662" spans="2:12" ht="18" customHeight="1">
      <c r="B662" s="5"/>
      <c r="D662" s="5"/>
      <c r="F662" s="5"/>
      <c r="H662" s="5"/>
      <c r="J662" s="5"/>
      <c r="L662" s="5"/>
    </row>
    <row r="663" spans="2:12" ht="18" customHeight="1">
      <c r="B663" s="5"/>
      <c r="D663" s="5"/>
      <c r="F663" s="5"/>
      <c r="H663" s="5"/>
      <c r="J663" s="5"/>
      <c r="L663" s="5"/>
    </row>
    <row r="664" spans="2:12" ht="18" customHeight="1">
      <c r="B664" s="5"/>
      <c r="D664" s="5"/>
      <c r="F664" s="5"/>
      <c r="H664" s="5"/>
      <c r="J664" s="5"/>
      <c r="L664" s="5"/>
    </row>
    <row r="665" spans="2:12" ht="18" customHeight="1">
      <c r="B665" s="5"/>
      <c r="D665" s="5"/>
      <c r="F665" s="5"/>
      <c r="H665" s="5"/>
      <c r="J665" s="5"/>
      <c r="L665" s="5"/>
    </row>
    <row r="666" spans="2:12" ht="18" customHeight="1">
      <c r="B666" s="5"/>
      <c r="D666" s="5"/>
      <c r="F666" s="5"/>
      <c r="H666" s="5"/>
      <c r="J666" s="5"/>
      <c r="L666" s="5"/>
    </row>
    <row r="667" spans="2:12" ht="18" customHeight="1">
      <c r="B667" s="5"/>
      <c r="D667" s="5"/>
      <c r="F667" s="5"/>
      <c r="H667" s="5"/>
      <c r="J667" s="5"/>
      <c r="L667" s="5"/>
    </row>
    <row r="668" spans="2:12" ht="18" customHeight="1">
      <c r="B668" s="5"/>
      <c r="D668" s="5"/>
      <c r="F668" s="5"/>
      <c r="H668" s="5"/>
      <c r="J668" s="5"/>
      <c r="L668" s="5"/>
    </row>
    <row r="669" spans="2:12" ht="18" customHeight="1">
      <c r="B669" s="5"/>
      <c r="D669" s="5"/>
      <c r="F669" s="5"/>
      <c r="H669" s="5"/>
      <c r="J669" s="5"/>
      <c r="L669" s="5"/>
    </row>
    <row r="670" spans="2:12" ht="18" customHeight="1">
      <c r="B670" s="5"/>
      <c r="D670" s="5"/>
      <c r="F670" s="5"/>
      <c r="H670" s="5"/>
      <c r="J670" s="5"/>
      <c r="L670" s="5"/>
    </row>
    <row r="671" spans="2:12" ht="18" customHeight="1">
      <c r="B671" s="5"/>
      <c r="D671" s="5"/>
      <c r="F671" s="5"/>
      <c r="H671" s="5"/>
      <c r="J671" s="5"/>
      <c r="L671" s="5"/>
    </row>
    <row r="672" spans="2:12" ht="18" customHeight="1">
      <c r="B672" s="5"/>
      <c r="D672" s="5"/>
      <c r="F672" s="5"/>
      <c r="H672" s="5"/>
      <c r="J672" s="5"/>
      <c r="L672" s="5"/>
    </row>
    <row r="673" spans="2:12" ht="18" customHeight="1">
      <c r="B673" s="5"/>
      <c r="D673" s="5"/>
      <c r="F673" s="5"/>
      <c r="H673" s="5"/>
      <c r="J673" s="5"/>
      <c r="L673" s="5"/>
    </row>
    <row r="674" spans="2:12" ht="18" customHeight="1">
      <c r="B674" s="5"/>
      <c r="D674" s="5"/>
      <c r="F674" s="5"/>
      <c r="H674" s="5"/>
      <c r="J674" s="5"/>
      <c r="L674" s="5"/>
    </row>
    <row r="675" spans="2:12" ht="18" customHeight="1">
      <c r="B675" s="5"/>
      <c r="D675" s="5"/>
      <c r="F675" s="5"/>
      <c r="H675" s="5"/>
      <c r="J675" s="5"/>
      <c r="L675" s="5"/>
    </row>
    <row r="676" spans="2:12" ht="18" customHeight="1">
      <c r="B676" s="5"/>
      <c r="D676" s="5"/>
      <c r="F676" s="5"/>
      <c r="H676" s="5"/>
      <c r="J676" s="5"/>
      <c r="L676" s="5"/>
    </row>
    <row r="677" spans="2:12" ht="18" customHeight="1">
      <c r="B677" s="5"/>
      <c r="D677" s="5"/>
      <c r="F677" s="5"/>
      <c r="H677" s="5"/>
      <c r="J677" s="5"/>
      <c r="L677" s="5"/>
    </row>
    <row r="678" spans="2:12" ht="18" customHeight="1">
      <c r="B678" s="5"/>
      <c r="D678" s="5"/>
      <c r="F678" s="5"/>
      <c r="H678" s="5"/>
      <c r="J678" s="5"/>
      <c r="L678" s="5"/>
    </row>
    <row r="679" spans="2:12" ht="18" customHeight="1">
      <c r="B679" s="5"/>
      <c r="D679" s="5"/>
      <c r="F679" s="5"/>
      <c r="H679" s="5"/>
      <c r="J679" s="5"/>
      <c r="L679" s="5"/>
    </row>
    <row r="680" spans="2:12" ht="18" customHeight="1">
      <c r="B680" s="5"/>
      <c r="D680" s="5"/>
      <c r="F680" s="5"/>
      <c r="H680" s="5"/>
      <c r="J680" s="5"/>
      <c r="L680" s="5"/>
    </row>
    <row r="681" spans="2:12" ht="18" customHeight="1">
      <c r="B681" s="5"/>
      <c r="D681" s="5"/>
      <c r="F681" s="5"/>
      <c r="H681" s="5"/>
      <c r="J681" s="5"/>
      <c r="L681" s="5"/>
    </row>
    <row r="682" spans="2:12" ht="18" customHeight="1">
      <c r="B682" s="5"/>
      <c r="D682" s="5"/>
      <c r="F682" s="5"/>
      <c r="H682" s="5"/>
      <c r="J682" s="5"/>
      <c r="L682" s="5"/>
    </row>
    <row r="683" spans="2:12" ht="18" customHeight="1">
      <c r="B683" s="5"/>
      <c r="D683" s="5"/>
      <c r="F683" s="5"/>
      <c r="H683" s="5"/>
      <c r="J683" s="5"/>
      <c r="L683" s="5"/>
    </row>
    <row r="684" spans="2:12" ht="18" customHeight="1">
      <c r="B684" s="5"/>
      <c r="D684" s="5"/>
      <c r="F684" s="5"/>
      <c r="H684" s="5"/>
      <c r="J684" s="5"/>
      <c r="L684" s="5"/>
    </row>
    <row r="685" spans="2:12" ht="18" customHeight="1">
      <c r="B685" s="5"/>
      <c r="D685" s="5"/>
      <c r="F685" s="5"/>
      <c r="H685" s="5"/>
      <c r="J685" s="5"/>
      <c r="L685" s="5"/>
    </row>
    <row r="686" spans="2:12" ht="18" customHeight="1">
      <c r="B686" s="5"/>
      <c r="D686" s="5"/>
      <c r="F686" s="5"/>
      <c r="H686" s="5"/>
      <c r="J686" s="5"/>
      <c r="L686" s="5"/>
    </row>
    <row r="687" spans="2:12" ht="18" customHeight="1">
      <c r="B687" s="5"/>
      <c r="D687" s="5"/>
      <c r="F687" s="5"/>
      <c r="H687" s="5"/>
      <c r="J687" s="5"/>
      <c r="L687" s="5"/>
    </row>
    <row r="688" spans="2:12" ht="18" customHeight="1">
      <c r="B688" s="5"/>
      <c r="D688" s="5"/>
      <c r="F688" s="5"/>
      <c r="H688" s="5"/>
      <c r="J688" s="5"/>
      <c r="L688" s="5"/>
    </row>
    <row r="689" spans="2:12" ht="18" customHeight="1">
      <c r="B689" s="5"/>
      <c r="D689" s="5"/>
      <c r="F689" s="5"/>
      <c r="H689" s="5"/>
      <c r="J689" s="5"/>
      <c r="L689" s="5"/>
    </row>
    <row r="690" spans="2:12" ht="18" customHeight="1">
      <c r="B690" s="5"/>
      <c r="D690" s="5"/>
      <c r="F690" s="5"/>
      <c r="H690" s="5"/>
      <c r="J690" s="5"/>
      <c r="L690" s="5"/>
    </row>
    <row r="691" spans="2:12" ht="18" customHeight="1">
      <c r="B691" s="5"/>
      <c r="D691" s="5"/>
      <c r="F691" s="5"/>
      <c r="H691" s="5"/>
      <c r="J691" s="5"/>
      <c r="L691" s="5"/>
    </row>
    <row r="692" spans="2:12" ht="18" customHeight="1">
      <c r="B692" s="5"/>
      <c r="D692" s="5"/>
      <c r="F692" s="5"/>
      <c r="H692" s="5"/>
      <c r="J692" s="5"/>
      <c r="L692" s="5"/>
    </row>
    <row r="693" spans="2:12" ht="18" customHeight="1">
      <c r="B693" s="5"/>
      <c r="D693" s="5"/>
      <c r="F693" s="5"/>
      <c r="H693" s="5"/>
      <c r="J693" s="5"/>
      <c r="L693" s="5"/>
    </row>
    <row r="694" spans="2:12" ht="18" customHeight="1">
      <c r="B694" s="5"/>
      <c r="D694" s="5"/>
      <c r="F694" s="5"/>
      <c r="H694" s="5"/>
      <c r="J694" s="5"/>
      <c r="L694" s="5"/>
    </row>
    <row r="695" spans="2:12" ht="18" customHeight="1">
      <c r="B695" s="5"/>
      <c r="D695" s="5"/>
      <c r="F695" s="5"/>
      <c r="H695" s="5"/>
      <c r="J695" s="5"/>
      <c r="L695" s="5"/>
    </row>
    <row r="696" spans="2:12" ht="18" customHeight="1">
      <c r="B696" s="5"/>
      <c r="D696" s="5"/>
      <c r="F696" s="5"/>
      <c r="H696" s="5"/>
      <c r="J696" s="5"/>
      <c r="L696" s="5"/>
    </row>
    <row r="697" spans="2:12" ht="18" customHeight="1">
      <c r="B697" s="5"/>
      <c r="D697" s="5"/>
      <c r="F697" s="5"/>
      <c r="H697" s="5"/>
      <c r="J697" s="5"/>
      <c r="L697" s="5"/>
    </row>
    <row r="698" spans="2:12" ht="18" customHeight="1">
      <c r="B698" s="5"/>
      <c r="D698" s="5"/>
      <c r="F698" s="5"/>
      <c r="H698" s="5"/>
      <c r="J698" s="5"/>
      <c r="L698" s="5"/>
    </row>
    <row r="699" spans="2:12" ht="18" customHeight="1">
      <c r="B699" s="5"/>
      <c r="D699" s="5"/>
      <c r="F699" s="5"/>
      <c r="H699" s="5"/>
      <c r="J699" s="5"/>
      <c r="L699" s="5"/>
    </row>
    <row r="700" spans="2:12" ht="18" customHeight="1">
      <c r="B700" s="5"/>
      <c r="D700" s="5"/>
      <c r="F700" s="5"/>
      <c r="H700" s="5"/>
      <c r="J700" s="5"/>
      <c r="L700" s="5"/>
    </row>
    <row r="701" spans="2:12" ht="18" customHeight="1">
      <c r="B701" s="5"/>
      <c r="D701" s="5"/>
      <c r="F701" s="5"/>
      <c r="H701" s="5"/>
      <c r="J701" s="5"/>
      <c r="L701" s="5"/>
    </row>
    <row r="702" spans="2:12" ht="18" customHeight="1">
      <c r="B702" s="5"/>
      <c r="D702" s="5"/>
      <c r="F702" s="5"/>
      <c r="H702" s="5"/>
      <c r="J702" s="5"/>
      <c r="L702" s="5"/>
    </row>
    <row r="703" spans="2:12" ht="18" customHeight="1">
      <c r="B703" s="5"/>
      <c r="D703" s="5"/>
      <c r="F703" s="5"/>
      <c r="H703" s="5"/>
      <c r="J703" s="5"/>
      <c r="L703" s="5"/>
    </row>
    <row r="704" spans="2:12" ht="18" customHeight="1">
      <c r="B704" s="5"/>
      <c r="D704" s="5"/>
      <c r="F704" s="5"/>
      <c r="H704" s="5"/>
      <c r="J704" s="5"/>
      <c r="L704" s="5"/>
    </row>
    <row r="705" spans="2:12" ht="18" customHeight="1">
      <c r="B705" s="5"/>
      <c r="D705" s="5"/>
      <c r="F705" s="5"/>
      <c r="H705" s="5"/>
      <c r="J705" s="5"/>
      <c r="L705" s="5"/>
    </row>
    <row r="706" spans="2:12" ht="18" customHeight="1">
      <c r="B706" s="5"/>
      <c r="D706" s="5"/>
      <c r="F706" s="5"/>
      <c r="H706" s="5"/>
      <c r="J706" s="5"/>
      <c r="L706" s="5"/>
    </row>
    <row r="707" spans="2:12" ht="18" customHeight="1">
      <c r="B707" s="5"/>
      <c r="D707" s="5"/>
      <c r="F707" s="5"/>
      <c r="H707" s="5"/>
      <c r="J707" s="5"/>
      <c r="L707" s="5"/>
    </row>
    <row r="708" spans="2:12" ht="18" customHeight="1">
      <c r="B708" s="5"/>
      <c r="D708" s="5"/>
      <c r="F708" s="5"/>
      <c r="H708" s="5"/>
      <c r="J708" s="5"/>
      <c r="L708" s="5"/>
    </row>
    <row r="709" spans="2:12" ht="18" customHeight="1">
      <c r="B709" s="5"/>
      <c r="D709" s="5"/>
      <c r="F709" s="5"/>
      <c r="H709" s="5"/>
      <c r="J709" s="5"/>
      <c r="L709" s="5"/>
    </row>
    <row r="710" spans="2:12" ht="18" customHeight="1">
      <c r="B710" s="5"/>
      <c r="D710" s="5"/>
      <c r="F710" s="5"/>
      <c r="H710" s="5"/>
      <c r="J710" s="5"/>
      <c r="L710" s="5"/>
    </row>
    <row r="711" spans="2:12" ht="18" customHeight="1">
      <c r="B711" s="5"/>
      <c r="D711" s="5"/>
      <c r="F711" s="5"/>
      <c r="H711" s="5"/>
      <c r="J711" s="5"/>
      <c r="L711" s="5"/>
    </row>
    <row r="712" spans="2:12" ht="18" customHeight="1">
      <c r="B712" s="5"/>
      <c r="D712" s="5"/>
      <c r="F712" s="5"/>
      <c r="H712" s="5"/>
      <c r="J712" s="5"/>
      <c r="L712" s="5"/>
    </row>
    <row r="713" spans="2:12" ht="18" customHeight="1">
      <c r="B713" s="5"/>
      <c r="D713" s="5"/>
      <c r="F713" s="5"/>
      <c r="H713" s="5"/>
      <c r="J713" s="5"/>
      <c r="L713" s="5"/>
    </row>
    <row r="714" spans="2:12" ht="18" customHeight="1">
      <c r="B714" s="5"/>
      <c r="D714" s="5"/>
      <c r="F714" s="5"/>
      <c r="H714" s="5"/>
      <c r="J714" s="5"/>
      <c r="L714" s="5"/>
    </row>
    <row r="715" spans="2:12" ht="18" customHeight="1">
      <c r="B715" s="5"/>
      <c r="D715" s="5"/>
      <c r="F715" s="5"/>
      <c r="H715" s="5"/>
      <c r="J715" s="5"/>
      <c r="L715" s="5"/>
    </row>
    <row r="716" spans="2:12" ht="18" customHeight="1">
      <c r="B716" s="5"/>
      <c r="D716" s="5"/>
      <c r="F716" s="5"/>
      <c r="H716" s="5"/>
      <c r="J716" s="5"/>
      <c r="L716" s="5"/>
    </row>
    <row r="717" spans="2:12" ht="18" customHeight="1">
      <c r="B717" s="5"/>
      <c r="D717" s="5"/>
      <c r="F717" s="5"/>
      <c r="H717" s="5"/>
      <c r="J717" s="5"/>
      <c r="L717" s="5"/>
    </row>
    <row r="718" spans="2:12" ht="18" customHeight="1">
      <c r="B718" s="5"/>
      <c r="D718" s="5"/>
      <c r="F718" s="5"/>
      <c r="H718" s="5"/>
      <c r="J718" s="5"/>
      <c r="L718" s="5"/>
    </row>
    <row r="719" spans="2:12" ht="18" customHeight="1">
      <c r="B719" s="5"/>
      <c r="D719" s="5"/>
      <c r="F719" s="5"/>
      <c r="H719" s="5"/>
      <c r="J719" s="5"/>
      <c r="L719" s="5"/>
    </row>
    <row r="720" spans="2:12" ht="18" customHeight="1">
      <c r="B720" s="5"/>
      <c r="D720" s="5"/>
      <c r="F720" s="5"/>
      <c r="H720" s="5"/>
      <c r="J720" s="5"/>
      <c r="L720" s="5"/>
    </row>
    <row r="721" spans="2:12" ht="18" customHeight="1">
      <c r="B721" s="5"/>
      <c r="D721" s="5"/>
      <c r="F721" s="5"/>
      <c r="H721" s="5"/>
      <c r="J721" s="5"/>
      <c r="L721" s="5"/>
    </row>
    <row r="722" spans="2:12" ht="18" customHeight="1">
      <c r="B722" s="5"/>
      <c r="D722" s="5"/>
      <c r="F722" s="5"/>
      <c r="H722" s="5"/>
      <c r="J722" s="5"/>
      <c r="L722" s="5"/>
    </row>
    <row r="723" spans="2:12" ht="18" customHeight="1">
      <c r="B723" s="5"/>
      <c r="D723" s="5"/>
      <c r="F723" s="5"/>
      <c r="H723" s="5"/>
      <c r="J723" s="5"/>
      <c r="L723" s="5"/>
    </row>
    <row r="724" spans="2:12" ht="18" customHeight="1">
      <c r="B724" s="5"/>
      <c r="D724" s="5"/>
      <c r="F724" s="5"/>
      <c r="H724" s="5"/>
      <c r="J724" s="5"/>
      <c r="L724" s="5"/>
    </row>
    <row r="725" spans="2:12" ht="18" customHeight="1">
      <c r="B725" s="5"/>
      <c r="D725" s="5"/>
      <c r="F725" s="5"/>
      <c r="H725" s="5"/>
      <c r="J725" s="5"/>
      <c r="L725" s="5"/>
    </row>
    <row r="726" spans="2:12" ht="18" customHeight="1">
      <c r="B726" s="5"/>
      <c r="D726" s="5"/>
      <c r="F726" s="5"/>
      <c r="H726" s="5"/>
      <c r="J726" s="5"/>
      <c r="L726" s="5"/>
    </row>
    <row r="727" spans="2:12" ht="18" customHeight="1">
      <c r="B727" s="5"/>
      <c r="D727" s="5"/>
      <c r="F727" s="5"/>
      <c r="H727" s="5"/>
      <c r="J727" s="5"/>
      <c r="L727" s="5"/>
    </row>
    <row r="728" spans="2:12" ht="18" customHeight="1">
      <c r="B728" s="5"/>
      <c r="D728" s="5"/>
      <c r="F728" s="5"/>
      <c r="H728" s="5"/>
      <c r="J728" s="5"/>
      <c r="L728" s="5"/>
    </row>
    <row r="729" spans="2:12" ht="18" customHeight="1">
      <c r="B729" s="5"/>
      <c r="D729" s="5"/>
      <c r="F729" s="5"/>
      <c r="H729" s="5"/>
      <c r="J729" s="5"/>
      <c r="L729" s="5"/>
    </row>
    <row r="730" spans="2:12" ht="18" customHeight="1">
      <c r="B730" s="5"/>
      <c r="D730" s="5"/>
      <c r="F730" s="5"/>
      <c r="H730" s="5"/>
      <c r="J730" s="5"/>
      <c r="L730" s="5"/>
    </row>
    <row r="731" spans="2:12" ht="18" customHeight="1">
      <c r="B731" s="5"/>
      <c r="D731" s="5"/>
      <c r="F731" s="5"/>
      <c r="H731" s="5"/>
      <c r="J731" s="5"/>
      <c r="L731" s="5"/>
    </row>
    <row r="732" spans="2:12" ht="18" customHeight="1">
      <c r="B732" s="5"/>
      <c r="D732" s="5"/>
      <c r="F732" s="5"/>
      <c r="H732" s="5"/>
      <c r="J732" s="5"/>
      <c r="L732" s="5"/>
    </row>
    <row r="733" spans="2:12" ht="18" customHeight="1">
      <c r="B733" s="5"/>
      <c r="D733" s="5"/>
      <c r="F733" s="5"/>
      <c r="H733" s="5"/>
      <c r="J733" s="5"/>
      <c r="L733" s="5"/>
    </row>
    <row r="734" spans="2:12" ht="18" customHeight="1">
      <c r="B734" s="5"/>
      <c r="D734" s="5"/>
      <c r="F734" s="5"/>
      <c r="H734" s="5"/>
      <c r="J734" s="5"/>
      <c r="L734" s="5"/>
    </row>
    <row r="735" spans="2:12" ht="18" customHeight="1">
      <c r="B735" s="5"/>
      <c r="D735" s="5"/>
      <c r="F735" s="5"/>
      <c r="H735" s="5"/>
      <c r="J735" s="5"/>
      <c r="L735" s="5"/>
    </row>
    <row r="736" spans="2:12" ht="18" customHeight="1">
      <c r="B736" s="5"/>
      <c r="D736" s="5"/>
      <c r="F736" s="5"/>
      <c r="H736" s="5"/>
      <c r="J736" s="5"/>
      <c r="L736" s="5"/>
    </row>
    <row r="737" spans="2:12" ht="18" customHeight="1">
      <c r="B737" s="5"/>
      <c r="D737" s="5"/>
      <c r="F737" s="5"/>
      <c r="H737" s="5"/>
      <c r="J737" s="5"/>
      <c r="L737" s="5"/>
    </row>
    <row r="738" spans="2:12" ht="18" customHeight="1">
      <c r="B738" s="5"/>
      <c r="D738" s="5"/>
      <c r="F738" s="5"/>
      <c r="H738" s="5"/>
      <c r="J738" s="5"/>
      <c r="L738" s="5"/>
    </row>
    <row r="739" spans="2:12" ht="18" customHeight="1">
      <c r="B739" s="5"/>
      <c r="D739" s="5"/>
      <c r="F739" s="5"/>
      <c r="H739" s="5"/>
      <c r="J739" s="5"/>
      <c r="L739" s="5"/>
    </row>
    <row r="740" spans="2:12" ht="18" customHeight="1">
      <c r="B740" s="5"/>
      <c r="D740" s="5"/>
      <c r="F740" s="5"/>
      <c r="H740" s="5"/>
      <c r="J740" s="5"/>
      <c r="L740" s="5"/>
    </row>
    <row r="741" spans="2:12" ht="18" customHeight="1">
      <c r="B741" s="5"/>
      <c r="D741" s="5"/>
      <c r="F741" s="5"/>
      <c r="H741" s="5"/>
      <c r="J741" s="5"/>
      <c r="L741" s="5"/>
    </row>
    <row r="742" spans="2:12" ht="18" customHeight="1">
      <c r="B742" s="5"/>
      <c r="D742" s="5"/>
      <c r="F742" s="5"/>
      <c r="H742" s="5"/>
      <c r="J742" s="5"/>
      <c r="L742" s="5"/>
    </row>
    <row r="743" spans="2:12" ht="18" customHeight="1">
      <c r="B743" s="5"/>
      <c r="D743" s="5"/>
      <c r="F743" s="5"/>
      <c r="H743" s="5"/>
      <c r="J743" s="5"/>
      <c r="L743" s="5"/>
    </row>
    <row r="744" spans="2:12" ht="18" customHeight="1">
      <c r="B744" s="5"/>
      <c r="D744" s="5"/>
      <c r="F744" s="5"/>
      <c r="H744" s="5"/>
      <c r="J744" s="5"/>
      <c r="L744" s="5"/>
    </row>
    <row r="745" spans="2:12" ht="18" customHeight="1">
      <c r="B745" s="5"/>
      <c r="D745" s="5"/>
      <c r="F745" s="5"/>
      <c r="H745" s="5"/>
      <c r="J745" s="5"/>
      <c r="L745" s="5"/>
    </row>
    <row r="746" spans="2:12" ht="18" customHeight="1">
      <c r="B746" s="5"/>
      <c r="D746" s="5"/>
      <c r="F746" s="5"/>
      <c r="H746" s="5"/>
      <c r="J746" s="5"/>
      <c r="L746" s="5"/>
    </row>
    <row r="747" spans="2:12" ht="18" customHeight="1">
      <c r="B747" s="5"/>
      <c r="D747" s="5"/>
      <c r="F747" s="5"/>
      <c r="H747" s="5"/>
      <c r="J747" s="5"/>
      <c r="L747" s="5"/>
    </row>
    <row r="748" spans="2:12" ht="18" customHeight="1">
      <c r="B748" s="5"/>
      <c r="D748" s="5"/>
      <c r="F748" s="5"/>
      <c r="H748" s="5"/>
      <c r="J748" s="5"/>
      <c r="L748" s="5"/>
    </row>
    <row r="749" spans="2:12" ht="18" customHeight="1">
      <c r="B749" s="5"/>
      <c r="D749" s="5"/>
      <c r="F749" s="5"/>
      <c r="H749" s="5"/>
      <c r="J749" s="5"/>
      <c r="L749" s="5"/>
    </row>
    <row r="750" spans="2:12" ht="18" customHeight="1">
      <c r="B750" s="5"/>
      <c r="D750" s="5"/>
      <c r="F750" s="5"/>
      <c r="H750" s="5"/>
      <c r="J750" s="5"/>
      <c r="L750" s="5"/>
    </row>
    <row r="751" spans="2:12" ht="18" customHeight="1">
      <c r="B751" s="5"/>
      <c r="D751" s="5"/>
      <c r="F751" s="5"/>
      <c r="H751" s="5"/>
      <c r="J751" s="5"/>
      <c r="L751" s="5"/>
    </row>
    <row r="752" spans="2:12" ht="18" customHeight="1">
      <c r="B752" s="5"/>
      <c r="D752" s="5"/>
      <c r="F752" s="5"/>
      <c r="H752" s="5"/>
      <c r="J752" s="5"/>
      <c r="L752" s="5"/>
    </row>
    <row r="753" spans="2:12" ht="18" customHeight="1">
      <c r="B753" s="5"/>
      <c r="D753" s="5"/>
      <c r="F753" s="5"/>
      <c r="H753" s="5"/>
      <c r="J753" s="5"/>
      <c r="L753" s="5"/>
    </row>
    <row r="754" spans="2:12" ht="18" customHeight="1">
      <c r="B754" s="5"/>
      <c r="D754" s="5"/>
      <c r="F754" s="5"/>
      <c r="H754" s="5"/>
      <c r="J754" s="5"/>
      <c r="L754" s="5"/>
    </row>
    <row r="755" spans="2:12" ht="18" customHeight="1">
      <c r="B755" s="5"/>
      <c r="D755" s="5"/>
      <c r="F755" s="5"/>
      <c r="H755" s="5"/>
      <c r="J755" s="5"/>
      <c r="L755" s="5"/>
    </row>
    <row r="756" spans="2:12" ht="18" customHeight="1">
      <c r="B756" s="5"/>
      <c r="D756" s="5"/>
      <c r="F756" s="5"/>
      <c r="H756" s="5"/>
      <c r="J756" s="5"/>
      <c r="L756" s="5"/>
    </row>
    <row r="757" spans="2:12" ht="18" customHeight="1">
      <c r="B757" s="5"/>
      <c r="D757" s="5"/>
      <c r="F757" s="5"/>
      <c r="H757" s="5"/>
      <c r="J757" s="5"/>
      <c r="L757" s="5"/>
    </row>
    <row r="758" spans="2:12" ht="18" customHeight="1">
      <c r="B758" s="5"/>
      <c r="D758" s="5"/>
      <c r="F758" s="5"/>
      <c r="H758" s="5"/>
      <c r="J758" s="5"/>
      <c r="L758" s="5"/>
    </row>
    <row r="759" spans="2:12" ht="18" customHeight="1">
      <c r="B759" s="5"/>
      <c r="D759" s="5"/>
      <c r="F759" s="5"/>
      <c r="H759" s="5"/>
      <c r="J759" s="5"/>
      <c r="L759" s="5"/>
    </row>
    <row r="760" spans="2:12" ht="18" customHeight="1">
      <c r="B760" s="5"/>
      <c r="D760" s="5"/>
      <c r="F760" s="5"/>
      <c r="H760" s="5"/>
      <c r="J760" s="5"/>
      <c r="L760" s="5"/>
    </row>
    <row r="761" spans="2:12" ht="18" customHeight="1">
      <c r="B761" s="5"/>
      <c r="D761" s="5"/>
      <c r="F761" s="5"/>
      <c r="H761" s="5"/>
      <c r="J761" s="5"/>
      <c r="L761" s="5"/>
    </row>
    <row r="762" spans="2:12" ht="18" customHeight="1">
      <c r="B762" s="5"/>
      <c r="D762" s="5"/>
      <c r="F762" s="5"/>
      <c r="H762" s="5"/>
      <c r="J762" s="5"/>
      <c r="L762" s="5"/>
    </row>
    <row r="763" spans="2:12" ht="18" customHeight="1">
      <c r="B763" s="5"/>
      <c r="D763" s="5"/>
      <c r="F763" s="5"/>
      <c r="H763" s="5"/>
      <c r="J763" s="5"/>
      <c r="L763" s="5"/>
    </row>
    <row r="764" spans="2:12" ht="18" customHeight="1">
      <c r="B764" s="5"/>
      <c r="D764" s="5"/>
      <c r="F764" s="5"/>
      <c r="H764" s="5"/>
      <c r="J764" s="5"/>
      <c r="L764" s="5"/>
    </row>
    <row r="765" spans="2:12" ht="18" customHeight="1">
      <c r="B765" s="5"/>
      <c r="D765" s="5"/>
      <c r="F765" s="5"/>
      <c r="H765" s="5"/>
      <c r="J765" s="5"/>
      <c r="L765" s="5"/>
    </row>
    <row r="766" spans="2:12" ht="18" customHeight="1">
      <c r="B766" s="5"/>
      <c r="D766" s="5"/>
      <c r="F766" s="5"/>
      <c r="H766" s="5"/>
      <c r="J766" s="5"/>
      <c r="L766" s="5"/>
    </row>
    <row r="767" spans="2:12" ht="18" customHeight="1">
      <c r="B767" s="5"/>
      <c r="D767" s="5"/>
      <c r="F767" s="5"/>
      <c r="H767" s="5"/>
      <c r="J767" s="5"/>
      <c r="L767" s="5"/>
    </row>
    <row r="768" spans="2:12" ht="18" customHeight="1">
      <c r="B768" s="5"/>
      <c r="D768" s="5"/>
      <c r="F768" s="5"/>
      <c r="H768" s="5"/>
      <c r="J768" s="5"/>
      <c r="L768" s="5"/>
    </row>
    <row r="769" spans="2:12" ht="18" customHeight="1">
      <c r="B769" s="5"/>
      <c r="D769" s="5"/>
      <c r="F769" s="5"/>
      <c r="H769" s="5"/>
      <c r="J769" s="5"/>
      <c r="L769" s="5"/>
    </row>
    <row r="770" spans="2:12" ht="18" customHeight="1">
      <c r="B770" s="5"/>
      <c r="D770" s="5"/>
      <c r="F770" s="5"/>
      <c r="H770" s="5"/>
      <c r="J770" s="5"/>
      <c r="L770" s="5"/>
    </row>
    <row r="771" spans="2:12" ht="18" customHeight="1">
      <c r="B771" s="5"/>
      <c r="D771" s="5"/>
      <c r="F771" s="5"/>
      <c r="H771" s="5"/>
      <c r="J771" s="5"/>
      <c r="L771" s="5"/>
    </row>
    <row r="772" spans="2:12" ht="18" customHeight="1">
      <c r="B772" s="5"/>
      <c r="D772" s="5"/>
      <c r="F772" s="5"/>
      <c r="H772" s="5"/>
      <c r="J772" s="5"/>
      <c r="L772" s="5"/>
    </row>
    <row r="773" spans="2:12" ht="18" customHeight="1">
      <c r="B773" s="5"/>
      <c r="D773" s="5"/>
      <c r="F773" s="5"/>
      <c r="H773" s="5"/>
      <c r="J773" s="5"/>
      <c r="L773" s="5"/>
    </row>
    <row r="774" spans="2:12" ht="18" customHeight="1">
      <c r="B774" s="5"/>
      <c r="D774" s="5"/>
      <c r="F774" s="5"/>
      <c r="H774" s="5"/>
      <c r="J774" s="5"/>
      <c r="L774" s="5"/>
    </row>
    <row r="775" spans="2:12" ht="18" customHeight="1">
      <c r="B775" s="5"/>
      <c r="D775" s="5"/>
      <c r="F775" s="5"/>
      <c r="H775" s="5"/>
      <c r="J775" s="5"/>
      <c r="L775" s="5"/>
    </row>
    <row r="776" spans="2:12" ht="18" customHeight="1">
      <c r="B776" s="5"/>
      <c r="D776" s="5"/>
      <c r="F776" s="5"/>
      <c r="H776" s="5"/>
      <c r="J776" s="5"/>
      <c r="L776" s="5"/>
    </row>
    <row r="777" spans="2:12" ht="18" customHeight="1">
      <c r="B777" s="5"/>
      <c r="D777" s="5"/>
      <c r="F777" s="5"/>
      <c r="H777" s="5"/>
      <c r="J777" s="5"/>
      <c r="L777" s="5"/>
    </row>
    <row r="778" spans="2:12" ht="18" customHeight="1">
      <c r="B778" s="5"/>
      <c r="D778" s="5"/>
      <c r="F778" s="5"/>
      <c r="H778" s="5"/>
      <c r="J778" s="5"/>
      <c r="L778" s="5"/>
    </row>
    <row r="779" spans="2:12" ht="18" customHeight="1">
      <c r="B779" s="5"/>
      <c r="D779" s="5"/>
      <c r="F779" s="5"/>
      <c r="H779" s="5"/>
      <c r="J779" s="5"/>
      <c r="L779" s="5"/>
    </row>
    <row r="780" spans="2:12" ht="18" customHeight="1">
      <c r="B780" s="5"/>
      <c r="D780" s="5"/>
      <c r="F780" s="5"/>
      <c r="H780" s="5"/>
      <c r="J780" s="5"/>
      <c r="L780" s="5"/>
    </row>
    <row r="781" spans="2:12" ht="18" customHeight="1">
      <c r="B781" s="5"/>
      <c r="D781" s="5"/>
      <c r="F781" s="5"/>
      <c r="H781" s="5"/>
      <c r="J781" s="5"/>
      <c r="L781" s="5"/>
    </row>
    <row r="782" spans="2:12" ht="18" customHeight="1">
      <c r="B782" s="5"/>
      <c r="D782" s="5"/>
      <c r="F782" s="5"/>
      <c r="H782" s="5"/>
      <c r="J782" s="5"/>
      <c r="L782" s="5"/>
    </row>
    <row r="783" spans="2:12" ht="18" customHeight="1">
      <c r="B783" s="5"/>
      <c r="D783" s="5"/>
      <c r="F783" s="5"/>
      <c r="H783" s="5"/>
      <c r="J783" s="5"/>
      <c r="L783" s="5"/>
    </row>
    <row r="784" spans="2:12" ht="18" customHeight="1">
      <c r="B784" s="5"/>
      <c r="D784" s="5"/>
      <c r="F784" s="5"/>
      <c r="H784" s="5"/>
      <c r="J784" s="5"/>
      <c r="L784" s="5"/>
    </row>
    <row r="785" spans="2:12" ht="18" customHeight="1">
      <c r="B785" s="5"/>
      <c r="D785" s="5"/>
      <c r="F785" s="5"/>
      <c r="H785" s="5"/>
      <c r="J785" s="5"/>
      <c r="L785" s="5"/>
    </row>
    <row r="786" spans="2:12" ht="18" customHeight="1">
      <c r="B786" s="5"/>
      <c r="D786" s="5"/>
      <c r="F786" s="5"/>
      <c r="H786" s="5"/>
      <c r="J786" s="5"/>
      <c r="L786" s="5"/>
    </row>
    <row r="787" spans="2:12" ht="18" customHeight="1">
      <c r="B787" s="5"/>
      <c r="D787" s="5"/>
      <c r="F787" s="5"/>
      <c r="H787" s="5"/>
      <c r="J787" s="5"/>
      <c r="L787" s="5"/>
    </row>
    <row r="788" spans="2:12" ht="18" customHeight="1">
      <c r="B788" s="5"/>
      <c r="D788" s="5"/>
      <c r="F788" s="5"/>
      <c r="H788" s="5"/>
      <c r="J788" s="5"/>
      <c r="L788" s="5"/>
    </row>
    <row r="789" spans="2:12" ht="18" customHeight="1">
      <c r="B789" s="5"/>
      <c r="D789" s="5"/>
      <c r="F789" s="5"/>
      <c r="H789" s="5"/>
      <c r="J789" s="5"/>
      <c r="L789" s="5"/>
    </row>
    <row r="790" spans="2:12" ht="18" customHeight="1">
      <c r="B790" s="5"/>
      <c r="D790" s="5"/>
      <c r="F790" s="5"/>
      <c r="H790" s="5"/>
      <c r="J790" s="5"/>
      <c r="L790" s="5"/>
    </row>
    <row r="791" spans="2:12" ht="18" customHeight="1">
      <c r="B791" s="5"/>
      <c r="D791" s="5"/>
      <c r="F791" s="5"/>
      <c r="H791" s="5"/>
      <c r="J791" s="5"/>
      <c r="L791" s="5"/>
    </row>
    <row r="792" spans="2:12" ht="18" customHeight="1">
      <c r="B792" s="5"/>
      <c r="D792" s="5"/>
      <c r="F792" s="5"/>
      <c r="H792" s="5"/>
      <c r="J792" s="5"/>
      <c r="L792" s="5"/>
    </row>
    <row r="793" spans="2:12" ht="18" customHeight="1">
      <c r="B793" s="5"/>
      <c r="D793" s="5"/>
      <c r="F793" s="5"/>
      <c r="H793" s="5"/>
      <c r="J793" s="5"/>
      <c r="L793" s="5"/>
    </row>
    <row r="794" spans="2:12" ht="18" customHeight="1">
      <c r="B794" s="5"/>
      <c r="D794" s="5"/>
      <c r="F794" s="5"/>
      <c r="H794" s="5"/>
      <c r="J794" s="5"/>
      <c r="L794" s="5"/>
    </row>
    <row r="795" spans="2:12" ht="18" customHeight="1">
      <c r="B795" s="5"/>
      <c r="D795" s="5"/>
      <c r="F795" s="5"/>
      <c r="H795" s="5"/>
      <c r="J795" s="5"/>
      <c r="L795" s="5"/>
    </row>
    <row r="796" spans="2:12" ht="18" customHeight="1">
      <c r="B796" s="5"/>
      <c r="D796" s="5"/>
      <c r="F796" s="5"/>
      <c r="H796" s="5"/>
      <c r="J796" s="5"/>
      <c r="L796" s="5"/>
    </row>
    <row r="797" spans="2:12" ht="18" customHeight="1">
      <c r="B797" s="5"/>
      <c r="D797" s="5"/>
      <c r="F797" s="5"/>
      <c r="H797" s="5"/>
      <c r="J797" s="5"/>
      <c r="L797" s="5"/>
    </row>
    <row r="798" spans="2:12" ht="18" customHeight="1">
      <c r="B798" s="5"/>
      <c r="D798" s="5"/>
      <c r="F798" s="5"/>
      <c r="H798" s="5"/>
      <c r="J798" s="5"/>
      <c r="L798" s="5"/>
    </row>
    <row r="799" spans="2:12" ht="18" customHeight="1">
      <c r="B799" s="5"/>
      <c r="D799" s="5"/>
      <c r="F799" s="5"/>
      <c r="H799" s="5"/>
      <c r="J799" s="5"/>
      <c r="L799" s="5"/>
    </row>
    <row r="800" spans="2:12" ht="18" customHeight="1">
      <c r="B800" s="5"/>
      <c r="D800" s="5"/>
      <c r="F800" s="5"/>
      <c r="H800" s="5"/>
      <c r="J800" s="5"/>
      <c r="L800" s="5"/>
    </row>
    <row r="801" spans="2:12" ht="18" customHeight="1">
      <c r="B801" s="5"/>
      <c r="D801" s="5"/>
      <c r="F801" s="5"/>
      <c r="H801" s="5"/>
      <c r="J801" s="5"/>
      <c r="L801" s="5"/>
    </row>
    <row r="802" spans="2:12" ht="18" customHeight="1">
      <c r="B802" s="5"/>
      <c r="D802" s="5"/>
      <c r="F802" s="5"/>
      <c r="H802" s="5"/>
      <c r="J802" s="5"/>
      <c r="L802" s="5"/>
    </row>
    <row r="803" spans="2:12" ht="18" customHeight="1">
      <c r="B803" s="5"/>
      <c r="D803" s="5"/>
      <c r="F803" s="5"/>
      <c r="H803" s="5"/>
      <c r="J803" s="5"/>
      <c r="L803" s="5"/>
    </row>
    <row r="804" spans="2:12" ht="18" customHeight="1">
      <c r="B804" s="5"/>
      <c r="D804" s="5"/>
      <c r="F804" s="5"/>
      <c r="H804" s="5"/>
      <c r="J804" s="5"/>
      <c r="L804" s="5"/>
    </row>
    <row r="805" spans="2:12" ht="18" customHeight="1">
      <c r="B805" s="5"/>
      <c r="D805" s="5"/>
      <c r="F805" s="5"/>
      <c r="H805" s="5"/>
      <c r="J805" s="5"/>
      <c r="L805" s="5"/>
    </row>
    <row r="806" spans="2:12" ht="18" customHeight="1">
      <c r="B806" s="5"/>
      <c r="D806" s="5"/>
      <c r="F806" s="5"/>
      <c r="H806" s="5"/>
      <c r="J806" s="5"/>
      <c r="L806" s="5"/>
    </row>
    <row r="807" spans="2:12" ht="18" customHeight="1">
      <c r="B807" s="5"/>
      <c r="D807" s="5"/>
      <c r="F807" s="5"/>
      <c r="H807" s="5"/>
      <c r="J807" s="5"/>
      <c r="L807" s="5"/>
    </row>
    <row r="808" spans="2:12" ht="18" customHeight="1">
      <c r="B808" s="5"/>
      <c r="D808" s="5"/>
      <c r="F808" s="5"/>
      <c r="H808" s="5"/>
      <c r="J808" s="5"/>
      <c r="L808" s="5"/>
    </row>
    <row r="809" spans="2:12" ht="18" customHeight="1">
      <c r="B809" s="5"/>
      <c r="D809" s="5"/>
      <c r="F809" s="5"/>
      <c r="H809" s="5"/>
      <c r="J809" s="5"/>
      <c r="L809" s="5"/>
    </row>
    <row r="810" spans="2:12" ht="18" customHeight="1">
      <c r="B810" s="5"/>
      <c r="D810" s="5"/>
      <c r="F810" s="5"/>
      <c r="H810" s="5"/>
      <c r="J810" s="5"/>
      <c r="L810" s="5"/>
    </row>
    <row r="811" spans="2:12" ht="18" customHeight="1">
      <c r="B811" s="5"/>
      <c r="D811" s="5"/>
      <c r="F811" s="5"/>
      <c r="H811" s="5"/>
      <c r="J811" s="5"/>
      <c r="L811" s="5"/>
    </row>
    <row r="812" spans="2:12" ht="18" customHeight="1">
      <c r="B812" s="5"/>
      <c r="D812" s="5"/>
      <c r="F812" s="5"/>
      <c r="H812" s="5"/>
      <c r="J812" s="5"/>
      <c r="L812" s="5"/>
    </row>
    <row r="813" spans="2:12" ht="18" customHeight="1">
      <c r="B813" s="5"/>
      <c r="D813" s="5"/>
      <c r="F813" s="5"/>
      <c r="H813" s="5"/>
      <c r="J813" s="5"/>
      <c r="L813" s="5"/>
    </row>
    <row r="814" spans="2:12" ht="18" customHeight="1">
      <c r="B814" s="5"/>
      <c r="D814" s="5"/>
      <c r="F814" s="5"/>
      <c r="H814" s="5"/>
      <c r="J814" s="5"/>
      <c r="L814" s="5"/>
    </row>
    <row r="815" spans="2:12" ht="18" customHeight="1">
      <c r="B815" s="5"/>
      <c r="D815" s="5"/>
      <c r="F815" s="5"/>
      <c r="H815" s="5"/>
      <c r="J815" s="5"/>
      <c r="L815" s="5"/>
    </row>
    <row r="816" spans="2:12" ht="18" customHeight="1">
      <c r="B816" s="5"/>
      <c r="D816" s="5"/>
      <c r="F816" s="5"/>
      <c r="H816" s="5"/>
      <c r="J816" s="5"/>
      <c r="L816" s="5"/>
    </row>
    <row r="817" spans="2:12" ht="18" customHeight="1">
      <c r="B817" s="5"/>
      <c r="D817" s="5"/>
      <c r="F817" s="5"/>
      <c r="H817" s="5"/>
      <c r="J817" s="5"/>
      <c r="L817" s="5"/>
    </row>
    <row r="818" spans="2:12" ht="18" customHeight="1">
      <c r="B818" s="5"/>
      <c r="D818" s="5"/>
      <c r="F818" s="5"/>
      <c r="H818" s="5"/>
      <c r="J818" s="5"/>
      <c r="L818" s="5"/>
    </row>
    <row r="819" spans="2:12" ht="18" customHeight="1">
      <c r="B819" s="5"/>
      <c r="D819" s="5"/>
      <c r="F819" s="5"/>
      <c r="H819" s="5"/>
      <c r="J819" s="5"/>
      <c r="L819" s="5"/>
    </row>
    <row r="820" spans="2:12" ht="18" customHeight="1">
      <c r="B820" s="5"/>
      <c r="D820" s="5"/>
      <c r="F820" s="5"/>
      <c r="H820" s="5"/>
      <c r="J820" s="5"/>
      <c r="L820" s="5"/>
    </row>
    <row r="821" spans="2:12" ht="18" customHeight="1">
      <c r="B821" s="5"/>
      <c r="D821" s="5"/>
      <c r="F821" s="5"/>
      <c r="H821" s="5"/>
      <c r="J821" s="5"/>
      <c r="L821" s="5"/>
    </row>
    <row r="822" spans="2:12" ht="18" customHeight="1">
      <c r="B822" s="5"/>
      <c r="D822" s="5"/>
      <c r="F822" s="5"/>
      <c r="H822" s="5"/>
      <c r="J822" s="5"/>
      <c r="L822" s="5"/>
    </row>
    <row r="823" spans="2:12" ht="18" customHeight="1">
      <c r="B823" s="5"/>
      <c r="D823" s="5"/>
      <c r="F823" s="5"/>
      <c r="H823" s="5"/>
      <c r="J823" s="5"/>
      <c r="L823" s="5"/>
    </row>
    <row r="824" spans="2:12" ht="18" customHeight="1">
      <c r="B824" s="5"/>
      <c r="D824" s="5"/>
      <c r="F824" s="5"/>
      <c r="H824" s="5"/>
      <c r="J824" s="5"/>
      <c r="L824" s="5"/>
    </row>
    <row r="825" spans="2:12" ht="18" customHeight="1">
      <c r="B825" s="5"/>
      <c r="D825" s="5"/>
      <c r="F825" s="5"/>
      <c r="H825" s="5"/>
      <c r="J825" s="5"/>
      <c r="L825" s="5"/>
    </row>
    <row r="826" spans="2:12" ht="18" customHeight="1">
      <c r="B826" s="5"/>
      <c r="D826" s="5"/>
      <c r="F826" s="5"/>
      <c r="H826" s="5"/>
      <c r="J826" s="5"/>
      <c r="L826" s="5"/>
    </row>
    <row r="827" spans="2:12" ht="18" customHeight="1">
      <c r="B827" s="5"/>
      <c r="D827" s="5"/>
      <c r="F827" s="5"/>
      <c r="H827" s="5"/>
      <c r="J827" s="5"/>
      <c r="L827" s="5"/>
    </row>
    <row r="828" spans="2:12" ht="18" customHeight="1">
      <c r="B828" s="5"/>
      <c r="D828" s="5"/>
      <c r="F828" s="5"/>
      <c r="H828" s="5"/>
      <c r="J828" s="5"/>
      <c r="L828" s="5"/>
    </row>
    <row r="829" spans="2:12" ht="18" customHeight="1">
      <c r="B829" s="5"/>
      <c r="D829" s="5"/>
      <c r="F829" s="5"/>
      <c r="H829" s="5"/>
      <c r="J829" s="5"/>
      <c r="L829" s="5"/>
    </row>
    <row r="830" spans="2:12" ht="18" customHeight="1">
      <c r="B830" s="5"/>
      <c r="D830" s="5"/>
      <c r="F830" s="5"/>
      <c r="H830" s="5"/>
      <c r="J830" s="5"/>
      <c r="L830" s="5"/>
    </row>
    <row r="831" spans="2:12" ht="18" customHeight="1">
      <c r="B831" s="5"/>
      <c r="D831" s="5"/>
      <c r="F831" s="5"/>
      <c r="H831" s="5"/>
      <c r="J831" s="5"/>
      <c r="L831" s="5"/>
    </row>
    <row r="832" spans="2:12" ht="18" customHeight="1">
      <c r="B832" s="5"/>
      <c r="D832" s="5"/>
      <c r="F832" s="5"/>
      <c r="H832" s="5"/>
      <c r="J832" s="5"/>
      <c r="L832" s="5"/>
    </row>
    <row r="833" spans="2:12" ht="18" customHeight="1">
      <c r="B833" s="5"/>
      <c r="D833" s="5"/>
      <c r="F833" s="5"/>
      <c r="H833" s="5"/>
      <c r="J833" s="5"/>
      <c r="L833" s="5"/>
    </row>
    <row r="834" spans="2:12" ht="18" customHeight="1">
      <c r="B834" s="5"/>
      <c r="D834" s="5"/>
      <c r="F834" s="5"/>
      <c r="H834" s="5"/>
      <c r="J834" s="5"/>
      <c r="L834" s="5"/>
    </row>
    <row r="835" spans="2:12" ht="18" customHeight="1">
      <c r="B835" s="5"/>
      <c r="D835" s="5"/>
      <c r="F835" s="5"/>
      <c r="H835" s="5"/>
      <c r="J835" s="5"/>
      <c r="L835" s="5"/>
    </row>
    <row r="836" spans="2:12" ht="18" customHeight="1">
      <c r="B836" s="5"/>
      <c r="D836" s="5"/>
      <c r="F836" s="5"/>
      <c r="H836" s="5"/>
      <c r="J836" s="5"/>
      <c r="L836" s="5"/>
    </row>
    <row r="837" spans="2:12" ht="18" customHeight="1">
      <c r="B837" s="5"/>
      <c r="D837" s="5"/>
      <c r="F837" s="5"/>
      <c r="H837" s="5"/>
      <c r="J837" s="5"/>
      <c r="L837" s="5"/>
    </row>
    <row r="838" spans="2:12" ht="18" customHeight="1">
      <c r="B838" s="5"/>
      <c r="D838" s="5"/>
      <c r="F838" s="5"/>
      <c r="H838" s="5"/>
      <c r="J838" s="5"/>
      <c r="L838" s="5"/>
    </row>
    <row r="839" spans="2:12" ht="18" customHeight="1">
      <c r="B839" s="5"/>
      <c r="D839" s="5"/>
      <c r="F839" s="5"/>
      <c r="H839" s="5"/>
      <c r="J839" s="5"/>
      <c r="L839" s="5"/>
    </row>
    <row r="840" spans="2:12" ht="18" customHeight="1">
      <c r="B840" s="5"/>
      <c r="D840" s="5"/>
      <c r="F840" s="5"/>
      <c r="H840" s="5"/>
      <c r="J840" s="5"/>
      <c r="L840" s="5"/>
    </row>
    <row r="841" spans="2:12" ht="18" customHeight="1">
      <c r="B841" s="5"/>
      <c r="D841" s="5"/>
      <c r="F841" s="5"/>
      <c r="H841" s="5"/>
      <c r="J841" s="5"/>
      <c r="L841" s="5"/>
    </row>
    <row r="842" spans="2:12" ht="18" customHeight="1">
      <c r="B842" s="5"/>
      <c r="D842" s="5"/>
      <c r="F842" s="5"/>
      <c r="H842" s="5"/>
      <c r="J842" s="5"/>
      <c r="L842" s="5"/>
    </row>
    <row r="843" spans="2:12" ht="18" customHeight="1">
      <c r="B843" s="5"/>
      <c r="D843" s="5"/>
      <c r="F843" s="5"/>
      <c r="H843" s="5"/>
      <c r="J843" s="5"/>
      <c r="L843" s="5"/>
    </row>
    <row r="844" spans="2:12" ht="18" customHeight="1">
      <c r="B844" s="5"/>
      <c r="D844" s="5"/>
      <c r="F844" s="5"/>
      <c r="H844" s="5"/>
      <c r="J844" s="5"/>
      <c r="L844" s="5"/>
    </row>
    <row r="845" spans="2:12" ht="18" customHeight="1">
      <c r="B845" s="5"/>
      <c r="D845" s="5"/>
      <c r="F845" s="5"/>
      <c r="H845" s="5"/>
      <c r="J845" s="5"/>
      <c r="L845" s="5"/>
    </row>
    <row r="846" spans="2:12" ht="18" customHeight="1">
      <c r="B846" s="5"/>
      <c r="D846" s="5"/>
      <c r="F846" s="5"/>
      <c r="H846" s="5"/>
      <c r="J846" s="5"/>
      <c r="L846" s="5"/>
    </row>
    <row r="847" spans="2:12" ht="18" customHeight="1">
      <c r="B847" s="5"/>
      <c r="D847" s="5"/>
      <c r="F847" s="5"/>
      <c r="H847" s="5"/>
      <c r="J847" s="5"/>
      <c r="L847" s="5"/>
    </row>
    <row r="848" spans="2:12" ht="18" customHeight="1">
      <c r="B848" s="5"/>
      <c r="D848" s="5"/>
      <c r="F848" s="5"/>
      <c r="H848" s="5"/>
      <c r="J848" s="5"/>
      <c r="L848" s="5"/>
    </row>
    <row r="849" spans="2:12" ht="18" customHeight="1">
      <c r="B849" s="5"/>
      <c r="D849" s="5"/>
      <c r="F849" s="5"/>
      <c r="H849" s="5"/>
      <c r="J849" s="5"/>
      <c r="L849" s="5"/>
    </row>
    <row r="850" spans="2:12" ht="18" customHeight="1">
      <c r="B850" s="5"/>
      <c r="D850" s="5"/>
      <c r="F850" s="5"/>
      <c r="H850" s="5"/>
      <c r="J850" s="5"/>
      <c r="L850" s="5"/>
    </row>
    <row r="851" spans="2:12" ht="18" customHeight="1">
      <c r="B851" s="5"/>
      <c r="D851" s="5"/>
      <c r="F851" s="5"/>
      <c r="H851" s="5"/>
      <c r="J851" s="5"/>
      <c r="L851" s="5"/>
    </row>
    <row r="852" spans="2:12" ht="18" customHeight="1">
      <c r="B852" s="5"/>
      <c r="D852" s="5"/>
      <c r="F852" s="5"/>
      <c r="H852" s="5"/>
      <c r="J852" s="5"/>
      <c r="L852" s="5"/>
    </row>
    <row r="853" spans="2:12" ht="18" customHeight="1">
      <c r="B853" s="5"/>
      <c r="D853" s="5"/>
      <c r="F853" s="5"/>
      <c r="H853" s="5"/>
      <c r="J853" s="5"/>
      <c r="L853" s="5"/>
    </row>
    <row r="854" spans="2:12" ht="18" customHeight="1">
      <c r="B854" s="5"/>
      <c r="D854" s="5"/>
      <c r="F854" s="5"/>
      <c r="H854" s="5"/>
      <c r="J854" s="5"/>
      <c r="L854" s="5"/>
    </row>
    <row r="855" spans="2:12" ht="18" customHeight="1">
      <c r="B855" s="5"/>
      <c r="D855" s="5"/>
      <c r="F855" s="5"/>
      <c r="H855" s="5"/>
      <c r="J855" s="5"/>
      <c r="L855" s="5"/>
    </row>
    <row r="856" spans="2:12" ht="18" customHeight="1">
      <c r="B856" s="5"/>
      <c r="D856" s="5"/>
      <c r="F856" s="5"/>
      <c r="H856" s="5"/>
      <c r="J856" s="5"/>
      <c r="L856" s="5"/>
    </row>
    <row r="857" spans="2:12" ht="18" customHeight="1">
      <c r="B857" s="5"/>
      <c r="D857" s="5"/>
      <c r="F857" s="5"/>
      <c r="H857" s="5"/>
      <c r="J857" s="5"/>
      <c r="L857" s="5"/>
    </row>
    <row r="858" spans="2:12" ht="18" customHeight="1">
      <c r="B858" s="5"/>
      <c r="D858" s="5"/>
      <c r="F858" s="5"/>
      <c r="H858" s="5"/>
      <c r="J858" s="5"/>
      <c r="L858" s="5"/>
    </row>
    <row r="859" spans="2:12" ht="18" customHeight="1">
      <c r="B859" s="5"/>
      <c r="D859" s="5"/>
      <c r="F859" s="5"/>
      <c r="H859" s="5"/>
      <c r="J859" s="5"/>
      <c r="L859" s="5"/>
    </row>
    <row r="860" spans="2:12" ht="18" customHeight="1">
      <c r="B860" s="5"/>
      <c r="D860" s="5"/>
      <c r="F860" s="5"/>
      <c r="H860" s="5"/>
      <c r="J860" s="5"/>
      <c r="L860" s="5"/>
    </row>
    <row r="861" spans="2:12" ht="18" customHeight="1">
      <c r="B861" s="5"/>
      <c r="D861" s="5"/>
      <c r="F861" s="5"/>
      <c r="H861" s="5"/>
      <c r="J861" s="5"/>
      <c r="L861" s="5"/>
    </row>
    <row r="862" spans="2:12" ht="18" customHeight="1">
      <c r="B862" s="5"/>
      <c r="D862" s="5"/>
      <c r="F862" s="5"/>
      <c r="H862" s="5"/>
      <c r="J862" s="5"/>
      <c r="L862" s="5"/>
    </row>
    <row r="863" spans="2:12" ht="18" customHeight="1">
      <c r="B863" s="5"/>
      <c r="D863" s="5"/>
      <c r="F863" s="5"/>
      <c r="H863" s="5"/>
      <c r="J863" s="5"/>
      <c r="L863" s="5"/>
    </row>
    <row r="864" spans="2:12" ht="18" customHeight="1">
      <c r="B864" s="5"/>
      <c r="D864" s="5"/>
      <c r="F864" s="5"/>
      <c r="H864" s="5"/>
      <c r="J864" s="5"/>
      <c r="L864" s="5"/>
    </row>
    <row r="865" spans="2:12" ht="18" customHeight="1">
      <c r="B865" s="5"/>
      <c r="D865" s="5"/>
      <c r="F865" s="5"/>
      <c r="H865" s="5"/>
      <c r="J865" s="5"/>
      <c r="L865" s="5"/>
    </row>
    <row r="866" spans="2:12" ht="18" customHeight="1">
      <c r="B866" s="5"/>
      <c r="D866" s="5"/>
      <c r="F866" s="5"/>
      <c r="H866" s="5"/>
      <c r="J866" s="5"/>
      <c r="L866" s="5"/>
    </row>
    <row r="867" spans="2:12" ht="18" customHeight="1">
      <c r="B867" s="5"/>
      <c r="D867" s="5"/>
      <c r="F867" s="5"/>
      <c r="H867" s="5"/>
      <c r="J867" s="5"/>
      <c r="L867" s="5"/>
    </row>
    <row r="868" spans="2:12" ht="18" customHeight="1">
      <c r="B868" s="5"/>
      <c r="D868" s="5"/>
      <c r="F868" s="5"/>
      <c r="H868" s="5"/>
      <c r="J868" s="5"/>
      <c r="L868" s="5"/>
    </row>
    <row r="869" spans="2:12" ht="18" customHeight="1">
      <c r="B869" s="5"/>
      <c r="D869" s="5"/>
      <c r="F869" s="5"/>
      <c r="H869" s="5"/>
      <c r="J869" s="5"/>
      <c r="L869" s="5"/>
    </row>
    <row r="870" spans="2:12" ht="18" customHeight="1">
      <c r="B870" s="5"/>
      <c r="D870" s="5"/>
      <c r="F870" s="5"/>
      <c r="H870" s="5"/>
      <c r="J870" s="5"/>
      <c r="L870" s="5"/>
    </row>
    <row r="871" spans="2:12" ht="18" customHeight="1">
      <c r="B871" s="5"/>
      <c r="D871" s="5"/>
      <c r="F871" s="5"/>
      <c r="H871" s="5"/>
      <c r="J871" s="5"/>
      <c r="L871" s="5"/>
    </row>
    <row r="872" spans="2:12" ht="18" customHeight="1">
      <c r="B872" s="5"/>
      <c r="D872" s="5"/>
      <c r="F872" s="5"/>
      <c r="H872" s="5"/>
      <c r="J872" s="5"/>
      <c r="L872" s="5"/>
    </row>
    <row r="873" spans="2:12" ht="18" customHeight="1">
      <c r="B873" s="5"/>
      <c r="D873" s="5"/>
      <c r="F873" s="5"/>
      <c r="H873" s="5"/>
      <c r="J873" s="5"/>
      <c r="L873" s="5"/>
    </row>
    <row r="874" spans="2:12" ht="18" customHeight="1">
      <c r="B874" s="5"/>
      <c r="D874" s="5"/>
      <c r="F874" s="5"/>
      <c r="H874" s="5"/>
      <c r="J874" s="5"/>
      <c r="L874" s="5"/>
    </row>
    <row r="875" spans="2:12" ht="18" customHeight="1">
      <c r="B875" s="5"/>
      <c r="D875" s="5"/>
      <c r="F875" s="5"/>
      <c r="H875" s="5"/>
      <c r="J875" s="5"/>
      <c r="L875" s="5"/>
    </row>
    <row r="876" spans="2:12" ht="18" customHeight="1">
      <c r="B876" s="5"/>
      <c r="D876" s="5"/>
      <c r="F876" s="5"/>
      <c r="H876" s="5"/>
      <c r="J876" s="5"/>
      <c r="L876" s="5"/>
    </row>
    <row r="877" spans="2:12" ht="18" customHeight="1">
      <c r="B877" s="5"/>
      <c r="D877" s="5"/>
      <c r="F877" s="5"/>
      <c r="H877" s="5"/>
      <c r="J877" s="5"/>
      <c r="L877" s="5"/>
    </row>
    <row r="878" spans="2:12" ht="18" customHeight="1">
      <c r="B878" s="5"/>
      <c r="D878" s="5"/>
      <c r="F878" s="5"/>
      <c r="H878" s="5"/>
      <c r="J878" s="5"/>
      <c r="L878" s="5"/>
    </row>
    <row r="879" spans="2:12" ht="18" customHeight="1">
      <c r="B879" s="5"/>
      <c r="D879" s="5"/>
      <c r="F879" s="5"/>
      <c r="H879" s="5"/>
      <c r="J879" s="5"/>
      <c r="L879" s="5"/>
    </row>
    <row r="880" spans="2:12" ht="18" customHeight="1">
      <c r="B880" s="5"/>
      <c r="D880" s="5"/>
      <c r="F880" s="5"/>
      <c r="H880" s="5"/>
      <c r="J880" s="5"/>
      <c r="L880" s="5"/>
    </row>
    <row r="881" spans="2:12" ht="18" customHeight="1">
      <c r="B881" s="5"/>
      <c r="D881" s="5"/>
      <c r="F881" s="5"/>
      <c r="H881" s="5"/>
      <c r="J881" s="5"/>
      <c r="L881" s="5"/>
    </row>
    <row r="882" spans="2:12" ht="18" customHeight="1">
      <c r="B882" s="5"/>
      <c r="D882" s="5"/>
      <c r="F882" s="5"/>
      <c r="H882" s="5"/>
      <c r="J882" s="5"/>
      <c r="L882" s="5"/>
    </row>
    <row r="883" spans="2:12" ht="18" customHeight="1">
      <c r="B883" s="5"/>
      <c r="D883" s="5"/>
      <c r="F883" s="5"/>
      <c r="H883" s="5"/>
      <c r="J883" s="5"/>
      <c r="L883" s="5"/>
    </row>
    <row r="884" spans="2:12" ht="18" customHeight="1">
      <c r="B884" s="5"/>
      <c r="D884" s="5"/>
      <c r="F884" s="5"/>
      <c r="H884" s="5"/>
      <c r="J884" s="5"/>
      <c r="L884" s="5"/>
    </row>
    <row r="885" spans="2:12" ht="18" customHeight="1">
      <c r="B885" s="5"/>
      <c r="D885" s="5"/>
      <c r="F885" s="5"/>
      <c r="H885" s="5"/>
      <c r="J885" s="5"/>
      <c r="L885" s="5"/>
    </row>
    <row r="886" spans="2:12" ht="18" customHeight="1">
      <c r="B886" s="5"/>
      <c r="D886" s="5"/>
      <c r="F886" s="5"/>
      <c r="H886" s="5"/>
      <c r="J886" s="5"/>
      <c r="L886" s="5"/>
    </row>
    <row r="887" spans="2:12" ht="18" customHeight="1">
      <c r="B887" s="5"/>
      <c r="D887" s="5"/>
      <c r="F887" s="5"/>
      <c r="H887" s="5"/>
      <c r="J887" s="5"/>
      <c r="L887" s="5"/>
    </row>
    <row r="888" spans="2:12" ht="18" customHeight="1">
      <c r="B888" s="5"/>
      <c r="D888" s="5"/>
      <c r="F888" s="5"/>
      <c r="H888" s="5"/>
      <c r="J888" s="5"/>
      <c r="L888" s="5"/>
    </row>
    <row r="889" spans="2:12" ht="18" customHeight="1">
      <c r="B889" s="5"/>
      <c r="D889" s="5"/>
      <c r="F889" s="5"/>
      <c r="H889" s="5"/>
      <c r="J889" s="5"/>
      <c r="L889" s="5"/>
    </row>
    <row r="890" spans="2:12" ht="18" customHeight="1">
      <c r="B890" s="5"/>
      <c r="D890" s="5"/>
      <c r="F890" s="5"/>
      <c r="H890" s="5"/>
      <c r="J890" s="5"/>
      <c r="L890" s="5"/>
    </row>
    <row r="891" spans="2:12" ht="18" customHeight="1">
      <c r="B891" s="5"/>
      <c r="D891" s="5"/>
      <c r="F891" s="5"/>
      <c r="H891" s="5"/>
      <c r="J891" s="5"/>
      <c r="L891" s="5"/>
    </row>
    <row r="892" spans="2:12" ht="18" customHeight="1">
      <c r="B892" s="5"/>
      <c r="D892" s="5"/>
      <c r="F892" s="5"/>
      <c r="H892" s="5"/>
      <c r="J892" s="5"/>
      <c r="L892" s="5"/>
    </row>
    <row r="893" spans="2:12" ht="18" customHeight="1">
      <c r="B893" s="5"/>
      <c r="D893" s="5"/>
      <c r="F893" s="5"/>
      <c r="H893" s="5"/>
      <c r="J893" s="5"/>
      <c r="L893" s="5"/>
    </row>
    <row r="894" spans="2:12" ht="18" customHeight="1">
      <c r="B894" s="5"/>
      <c r="D894" s="5"/>
      <c r="F894" s="5"/>
      <c r="H894" s="5"/>
      <c r="J894" s="5"/>
      <c r="L894" s="5"/>
    </row>
    <row r="895" spans="2:12" ht="18" customHeight="1">
      <c r="B895" s="5"/>
      <c r="D895" s="5"/>
      <c r="F895" s="5"/>
      <c r="H895" s="5"/>
      <c r="J895" s="5"/>
      <c r="L895" s="5"/>
    </row>
    <row r="896" spans="2:12" ht="18" customHeight="1">
      <c r="B896" s="5"/>
      <c r="D896" s="5"/>
      <c r="F896" s="5"/>
      <c r="H896" s="5"/>
      <c r="J896" s="5"/>
      <c r="L896" s="5"/>
    </row>
    <row r="897" spans="2:12" ht="18" customHeight="1">
      <c r="B897" s="5"/>
      <c r="D897" s="5"/>
      <c r="F897" s="5"/>
      <c r="H897" s="5"/>
      <c r="J897" s="5"/>
      <c r="L897" s="5"/>
    </row>
    <row r="898" spans="2:12" ht="18" customHeight="1">
      <c r="B898" s="5"/>
      <c r="D898" s="5"/>
      <c r="F898" s="5"/>
      <c r="H898" s="5"/>
      <c r="J898" s="5"/>
      <c r="L898" s="5"/>
    </row>
    <row r="899" spans="2:12" ht="18" customHeight="1">
      <c r="B899" s="5"/>
      <c r="D899" s="5"/>
      <c r="F899" s="5"/>
      <c r="H899" s="5"/>
      <c r="J899" s="5"/>
      <c r="L899" s="5"/>
    </row>
    <row r="900" spans="2:12" ht="18" customHeight="1">
      <c r="B900" s="5"/>
      <c r="D900" s="5"/>
      <c r="F900" s="5"/>
      <c r="H900" s="5"/>
      <c r="J900" s="5"/>
      <c r="L900" s="5"/>
    </row>
    <row r="901" spans="2:12" ht="18" customHeight="1">
      <c r="B901" s="5"/>
      <c r="D901" s="5"/>
      <c r="F901" s="5"/>
      <c r="H901" s="5"/>
      <c r="J901" s="5"/>
      <c r="L901" s="5"/>
    </row>
    <row r="902" spans="2:12" ht="18" customHeight="1">
      <c r="B902" s="5"/>
      <c r="D902" s="5"/>
      <c r="F902" s="5"/>
      <c r="H902" s="5"/>
      <c r="J902" s="5"/>
      <c r="L902" s="5"/>
    </row>
    <row r="903" spans="2:12" ht="18" customHeight="1">
      <c r="B903" s="5"/>
      <c r="D903" s="5"/>
      <c r="F903" s="5"/>
      <c r="H903" s="5"/>
      <c r="J903" s="5"/>
      <c r="L903" s="5"/>
    </row>
    <row r="904" spans="2:12" ht="18" customHeight="1">
      <c r="B904" s="5"/>
      <c r="D904" s="5"/>
      <c r="F904" s="5"/>
      <c r="H904" s="5"/>
      <c r="J904" s="5"/>
      <c r="L904" s="5"/>
    </row>
    <row r="905" spans="2:12" ht="18" customHeight="1">
      <c r="B905" s="5"/>
      <c r="D905" s="5"/>
      <c r="F905" s="5"/>
      <c r="H905" s="5"/>
      <c r="J905" s="5"/>
      <c r="L905" s="5"/>
    </row>
    <row r="906" spans="2:12" ht="18" customHeight="1">
      <c r="B906" s="5"/>
      <c r="D906" s="5"/>
      <c r="F906" s="5"/>
      <c r="H906" s="5"/>
      <c r="J906" s="5"/>
      <c r="L906" s="5"/>
    </row>
    <row r="907" spans="2:12" ht="18" customHeight="1">
      <c r="B907" s="5"/>
      <c r="D907" s="5"/>
      <c r="F907" s="5"/>
      <c r="H907" s="5"/>
      <c r="J907" s="5"/>
      <c r="L907" s="5"/>
    </row>
    <row r="908" spans="2:12" ht="18" customHeight="1">
      <c r="B908" s="5"/>
      <c r="D908" s="5"/>
      <c r="F908" s="5"/>
      <c r="H908" s="5"/>
      <c r="J908" s="5"/>
      <c r="L908" s="5"/>
    </row>
    <row r="909" spans="2:12" ht="18" customHeight="1">
      <c r="B909" s="5"/>
      <c r="D909" s="5"/>
      <c r="F909" s="5"/>
      <c r="H909" s="5"/>
      <c r="J909" s="5"/>
      <c r="L909" s="5"/>
    </row>
    <row r="910" spans="2:12" ht="18" customHeight="1">
      <c r="B910" s="5"/>
      <c r="D910" s="5"/>
      <c r="F910" s="5"/>
      <c r="H910" s="5"/>
      <c r="J910" s="5"/>
      <c r="L910" s="5"/>
    </row>
    <row r="911" spans="2:12" ht="18" customHeight="1">
      <c r="B911" s="5"/>
      <c r="D911" s="5"/>
      <c r="F911" s="5"/>
      <c r="H911" s="5"/>
      <c r="J911" s="5"/>
      <c r="L911" s="5"/>
    </row>
    <row r="912" spans="2:12" ht="18" customHeight="1">
      <c r="B912" s="5"/>
      <c r="D912" s="5"/>
      <c r="F912" s="5"/>
      <c r="H912" s="5"/>
      <c r="J912" s="5"/>
      <c r="L912" s="5"/>
    </row>
    <row r="913" spans="2:12" ht="18" customHeight="1">
      <c r="B913" s="5"/>
      <c r="D913" s="5"/>
      <c r="F913" s="5"/>
      <c r="H913" s="5"/>
      <c r="J913" s="5"/>
      <c r="L913" s="5"/>
    </row>
    <row r="914" spans="2:12" ht="18" customHeight="1">
      <c r="B914" s="5"/>
      <c r="D914" s="5"/>
      <c r="F914" s="5"/>
      <c r="H914" s="5"/>
      <c r="J914" s="5"/>
      <c r="L914" s="5"/>
    </row>
    <row r="915" spans="2:12" ht="18" customHeight="1">
      <c r="B915" s="5"/>
      <c r="D915" s="5"/>
      <c r="F915" s="5"/>
      <c r="H915" s="5"/>
      <c r="J915" s="5"/>
      <c r="L915" s="5"/>
    </row>
    <row r="916" spans="2:12" ht="18" customHeight="1">
      <c r="B916" s="5"/>
      <c r="D916" s="5"/>
      <c r="F916" s="5"/>
      <c r="H916" s="5"/>
      <c r="J916" s="5"/>
      <c r="L916" s="5"/>
    </row>
    <row r="917" spans="2:12" ht="18" customHeight="1">
      <c r="B917" s="5"/>
      <c r="D917" s="5"/>
      <c r="F917" s="5"/>
      <c r="H917" s="5"/>
      <c r="J917" s="5"/>
      <c r="L917" s="5"/>
    </row>
    <row r="918" spans="2:12" ht="18" customHeight="1">
      <c r="B918" s="5"/>
      <c r="D918" s="5"/>
      <c r="F918" s="5"/>
      <c r="H918" s="5"/>
      <c r="J918" s="5"/>
      <c r="L918" s="5"/>
    </row>
    <row r="919" spans="2:12" ht="18" customHeight="1">
      <c r="B919" s="5"/>
      <c r="D919" s="5"/>
      <c r="F919" s="5"/>
      <c r="H919" s="5"/>
      <c r="J919" s="5"/>
      <c r="L919" s="5"/>
    </row>
    <row r="920" spans="2:12" ht="18" customHeight="1">
      <c r="B920" s="5"/>
      <c r="D920" s="5"/>
      <c r="F920" s="5"/>
      <c r="H920" s="5"/>
      <c r="J920" s="5"/>
      <c r="L920" s="5"/>
    </row>
    <row r="921" spans="2:12" ht="18" customHeight="1">
      <c r="B921" s="5"/>
      <c r="D921" s="5"/>
      <c r="F921" s="5"/>
      <c r="H921" s="5"/>
      <c r="J921" s="5"/>
      <c r="L921" s="5"/>
    </row>
    <row r="922" spans="2:12" ht="18" customHeight="1">
      <c r="B922" s="5"/>
      <c r="D922" s="5"/>
      <c r="F922" s="5"/>
      <c r="H922" s="5"/>
      <c r="J922" s="5"/>
      <c r="L922" s="5"/>
    </row>
    <row r="923" spans="2:12" ht="18" customHeight="1">
      <c r="B923" s="5"/>
      <c r="D923" s="5"/>
      <c r="F923" s="5"/>
      <c r="H923" s="5"/>
      <c r="J923" s="5"/>
      <c r="L923" s="5"/>
    </row>
    <row r="924" spans="2:12" ht="18" customHeight="1">
      <c r="B924" s="5"/>
      <c r="D924" s="5"/>
      <c r="F924" s="5"/>
      <c r="H924" s="5"/>
      <c r="J924" s="5"/>
      <c r="L924" s="5"/>
    </row>
    <row r="925" spans="2:12" ht="18" customHeight="1">
      <c r="B925" s="5"/>
      <c r="D925" s="5"/>
      <c r="F925" s="5"/>
      <c r="H925" s="5"/>
      <c r="J925" s="5"/>
      <c r="L925" s="5"/>
    </row>
    <row r="926" spans="2:12" ht="18" customHeight="1">
      <c r="B926" s="5"/>
      <c r="D926" s="5"/>
      <c r="F926" s="5"/>
      <c r="H926" s="5"/>
      <c r="J926" s="5"/>
      <c r="L926" s="5"/>
    </row>
    <row r="927" spans="2:12" ht="18" customHeight="1">
      <c r="B927" s="5"/>
      <c r="D927" s="5"/>
      <c r="F927" s="5"/>
      <c r="H927" s="5"/>
      <c r="J927" s="5"/>
      <c r="L927" s="5"/>
    </row>
    <row r="928" spans="2:12" ht="18" customHeight="1">
      <c r="B928" s="5"/>
      <c r="D928" s="5"/>
      <c r="F928" s="5"/>
      <c r="H928" s="5"/>
      <c r="J928" s="5"/>
      <c r="L928" s="5"/>
    </row>
    <row r="929" spans="2:12" ht="18" customHeight="1">
      <c r="B929" s="5"/>
      <c r="D929" s="5"/>
      <c r="F929" s="5"/>
      <c r="H929" s="5"/>
      <c r="J929" s="5"/>
      <c r="L929" s="5"/>
    </row>
    <row r="930" spans="2:12" ht="18" customHeight="1">
      <c r="B930" s="5"/>
      <c r="D930" s="5"/>
      <c r="F930" s="5"/>
      <c r="H930" s="5"/>
      <c r="J930" s="5"/>
      <c r="L930" s="5"/>
    </row>
    <row r="931" spans="2:12" ht="18" customHeight="1">
      <c r="B931" s="5"/>
      <c r="D931" s="5"/>
      <c r="F931" s="5"/>
      <c r="H931" s="5"/>
      <c r="J931" s="5"/>
      <c r="L931" s="5"/>
    </row>
    <row r="932" spans="2:12" ht="18" customHeight="1">
      <c r="B932" s="5"/>
      <c r="D932" s="5"/>
      <c r="F932" s="5"/>
      <c r="H932" s="5"/>
      <c r="J932" s="5"/>
      <c r="L932" s="5"/>
    </row>
    <row r="933" spans="2:12" ht="18" customHeight="1">
      <c r="B933" s="5"/>
      <c r="D933" s="5"/>
      <c r="F933" s="5"/>
      <c r="H933" s="5"/>
      <c r="J933" s="5"/>
      <c r="L933" s="5"/>
    </row>
    <row r="934" spans="2:12" ht="18" customHeight="1">
      <c r="B934" s="5"/>
      <c r="D934" s="5"/>
      <c r="F934" s="5"/>
      <c r="H934" s="5"/>
      <c r="J934" s="5"/>
      <c r="L934" s="5"/>
    </row>
    <row r="935" spans="2:12" ht="18" customHeight="1">
      <c r="B935" s="5"/>
      <c r="D935" s="5"/>
      <c r="F935" s="5"/>
      <c r="H935" s="5"/>
      <c r="J935" s="5"/>
      <c r="L935" s="5"/>
    </row>
    <row r="936" spans="2:12" ht="18" customHeight="1">
      <c r="B936" s="5"/>
      <c r="D936" s="5"/>
      <c r="F936" s="5"/>
      <c r="H936" s="5"/>
      <c r="J936" s="5"/>
      <c r="L936" s="5"/>
    </row>
    <row r="937" spans="2:12" ht="18" customHeight="1">
      <c r="B937" s="5"/>
      <c r="D937" s="5"/>
      <c r="F937" s="5"/>
      <c r="H937" s="5"/>
      <c r="J937" s="5"/>
      <c r="L937" s="5"/>
    </row>
    <row r="938" spans="2:12" ht="18" customHeight="1">
      <c r="B938" s="5"/>
      <c r="D938" s="5"/>
      <c r="F938" s="5"/>
      <c r="H938" s="5"/>
      <c r="J938" s="5"/>
      <c r="L938" s="5"/>
    </row>
    <row r="939" spans="2:12" ht="18" customHeight="1">
      <c r="B939" s="5"/>
      <c r="D939" s="5"/>
      <c r="F939" s="5"/>
      <c r="H939" s="5"/>
      <c r="J939" s="5"/>
      <c r="L939" s="5"/>
    </row>
    <row r="940" spans="2:12" ht="18" customHeight="1">
      <c r="B940" s="5"/>
      <c r="D940" s="5"/>
      <c r="F940" s="5"/>
      <c r="H940" s="5"/>
      <c r="J940" s="5"/>
      <c r="L940" s="5"/>
    </row>
    <row r="941" spans="2:12" ht="18" customHeight="1">
      <c r="B941" s="5"/>
      <c r="D941" s="5"/>
      <c r="F941" s="5"/>
      <c r="H941" s="5"/>
      <c r="J941" s="5"/>
      <c r="L941" s="5"/>
    </row>
    <row r="942" spans="2:12" ht="18" customHeight="1">
      <c r="B942" s="5"/>
      <c r="D942" s="5"/>
      <c r="F942" s="5"/>
      <c r="H942" s="5"/>
      <c r="J942" s="5"/>
      <c r="L942" s="5"/>
    </row>
    <row r="943" spans="2:12" ht="18" customHeight="1">
      <c r="B943" s="5"/>
      <c r="D943" s="5"/>
      <c r="F943" s="5"/>
      <c r="H943" s="5"/>
      <c r="J943" s="5"/>
      <c r="L943" s="5"/>
    </row>
    <row r="944" spans="2:12" ht="18" customHeight="1">
      <c r="B944" s="5"/>
      <c r="D944" s="5"/>
      <c r="F944" s="5"/>
      <c r="H944" s="5"/>
      <c r="J944" s="5"/>
      <c r="L944" s="5"/>
    </row>
    <row r="945" spans="2:12" ht="18" customHeight="1">
      <c r="B945" s="5"/>
      <c r="D945" s="5"/>
      <c r="F945" s="5"/>
      <c r="H945" s="5"/>
      <c r="J945" s="5"/>
      <c r="L945" s="5"/>
    </row>
    <row r="946" spans="2:12" ht="18" customHeight="1">
      <c r="B946" s="5"/>
      <c r="D946" s="5"/>
      <c r="F946" s="5"/>
      <c r="H946" s="5"/>
      <c r="J946" s="5"/>
      <c r="L946" s="5"/>
    </row>
    <row r="947" spans="2:12" ht="18" customHeight="1">
      <c r="B947" s="5"/>
      <c r="D947" s="5"/>
      <c r="F947" s="5"/>
      <c r="H947" s="5"/>
      <c r="J947" s="5"/>
      <c r="L947" s="5"/>
    </row>
    <row r="948" spans="2:12" ht="18" customHeight="1">
      <c r="B948" s="5"/>
      <c r="D948" s="5"/>
      <c r="F948" s="5"/>
      <c r="H948" s="5"/>
      <c r="J948" s="5"/>
      <c r="L948" s="5"/>
    </row>
    <row r="949" spans="2:12" ht="18" customHeight="1">
      <c r="B949" s="5"/>
      <c r="D949" s="5"/>
      <c r="F949" s="5"/>
      <c r="H949" s="5"/>
      <c r="J949" s="5"/>
      <c r="L949" s="5"/>
    </row>
    <row r="950" spans="2:12" ht="18" customHeight="1">
      <c r="B950" s="5"/>
      <c r="D950" s="5"/>
      <c r="F950" s="5"/>
      <c r="H950" s="5"/>
      <c r="J950" s="5"/>
      <c r="L950" s="5"/>
    </row>
    <row r="951" spans="2:12" ht="18" customHeight="1">
      <c r="B951" s="5"/>
      <c r="D951" s="5"/>
      <c r="F951" s="5"/>
      <c r="H951" s="5"/>
      <c r="J951" s="5"/>
      <c r="L951" s="5"/>
    </row>
    <row r="952" spans="2:12" ht="18" customHeight="1">
      <c r="B952" s="5"/>
      <c r="D952" s="5"/>
      <c r="F952" s="5"/>
      <c r="H952" s="5"/>
      <c r="J952" s="5"/>
      <c r="L952" s="5"/>
    </row>
    <row r="953" spans="2:12" ht="18" customHeight="1">
      <c r="B953" s="5"/>
      <c r="D953" s="5"/>
      <c r="F953" s="5"/>
      <c r="H953" s="5"/>
      <c r="J953" s="5"/>
      <c r="L953" s="5"/>
    </row>
    <row r="954" spans="2:12" ht="18" customHeight="1">
      <c r="B954" s="5"/>
      <c r="D954" s="5"/>
      <c r="F954" s="5"/>
      <c r="H954" s="5"/>
      <c r="J954" s="5"/>
      <c r="L954" s="5"/>
    </row>
    <row r="955" spans="2:12" ht="18" customHeight="1">
      <c r="B955" s="5"/>
      <c r="D955" s="5"/>
      <c r="F955" s="5"/>
      <c r="H955" s="5"/>
      <c r="J955" s="5"/>
      <c r="L955" s="5"/>
    </row>
    <row r="956" spans="2:12" ht="18" customHeight="1">
      <c r="B956" s="5"/>
      <c r="D956" s="5"/>
      <c r="F956" s="5"/>
      <c r="H956" s="5"/>
      <c r="J956" s="5"/>
      <c r="L956" s="5"/>
    </row>
    <row r="957" spans="2:12" ht="18" customHeight="1">
      <c r="B957" s="5"/>
      <c r="D957" s="5"/>
      <c r="F957" s="5"/>
      <c r="H957" s="5"/>
      <c r="J957" s="5"/>
      <c r="L957" s="5"/>
    </row>
    <row r="958" spans="2:12" ht="18" customHeight="1">
      <c r="B958" s="5"/>
      <c r="D958" s="5"/>
      <c r="F958" s="5"/>
      <c r="H958" s="5"/>
      <c r="J958" s="5"/>
      <c r="L958" s="5"/>
    </row>
    <row r="959" spans="2:12" ht="18" customHeight="1">
      <c r="B959" s="5"/>
      <c r="D959" s="5"/>
      <c r="F959" s="5"/>
      <c r="H959" s="5"/>
      <c r="J959" s="5"/>
      <c r="L959" s="5"/>
    </row>
    <row r="960" spans="2:12" ht="18" customHeight="1">
      <c r="B960" s="5"/>
      <c r="D960" s="5"/>
      <c r="F960" s="5"/>
      <c r="H960" s="5"/>
      <c r="J960" s="5"/>
      <c r="L960" s="5"/>
    </row>
    <row r="961" spans="2:12" ht="18" customHeight="1">
      <c r="B961" s="5"/>
      <c r="D961" s="5"/>
      <c r="F961" s="5"/>
      <c r="H961" s="5"/>
      <c r="J961" s="5"/>
      <c r="L961" s="5"/>
    </row>
    <row r="962" spans="2:12" ht="18" customHeight="1">
      <c r="B962" s="5"/>
      <c r="D962" s="5"/>
      <c r="F962" s="5"/>
      <c r="H962" s="5"/>
      <c r="J962" s="5"/>
      <c r="L962" s="5"/>
    </row>
    <row r="963" spans="2:12" ht="18" customHeight="1">
      <c r="B963" s="5"/>
      <c r="D963" s="5"/>
      <c r="F963" s="5"/>
      <c r="H963" s="5"/>
      <c r="J963" s="5"/>
      <c r="L963" s="5"/>
    </row>
    <row r="964" spans="2:12" ht="18" customHeight="1">
      <c r="B964" s="5"/>
      <c r="D964" s="5"/>
      <c r="F964" s="5"/>
      <c r="H964" s="5"/>
      <c r="J964" s="5"/>
      <c r="L964" s="5"/>
    </row>
    <row r="965" spans="2:12" ht="18" customHeight="1">
      <c r="B965" s="5"/>
      <c r="D965" s="5"/>
      <c r="F965" s="5"/>
      <c r="H965" s="5"/>
      <c r="J965" s="5"/>
      <c r="L965" s="5"/>
    </row>
    <row r="966" spans="2:12" ht="18" customHeight="1">
      <c r="B966" s="5"/>
      <c r="D966" s="5"/>
      <c r="F966" s="5"/>
      <c r="H966" s="5"/>
      <c r="J966" s="5"/>
      <c r="L966" s="5"/>
    </row>
    <row r="967" spans="2:12" ht="18" customHeight="1">
      <c r="B967" s="5"/>
      <c r="D967" s="5"/>
      <c r="F967" s="5"/>
      <c r="H967" s="5"/>
      <c r="J967" s="5"/>
      <c r="L967" s="5"/>
    </row>
    <row r="968" spans="2:12" ht="18" customHeight="1">
      <c r="B968" s="5"/>
      <c r="D968" s="5"/>
      <c r="F968" s="5"/>
      <c r="H968" s="5"/>
      <c r="J968" s="5"/>
      <c r="L968" s="5"/>
    </row>
    <row r="969" spans="2:12" ht="18" customHeight="1">
      <c r="B969" s="5"/>
      <c r="D969" s="5"/>
      <c r="F969" s="5"/>
      <c r="H969" s="5"/>
      <c r="J969" s="5"/>
      <c r="L969" s="5"/>
    </row>
    <row r="970" spans="2:12" ht="18" customHeight="1">
      <c r="B970" s="5"/>
      <c r="D970" s="5"/>
      <c r="F970" s="5"/>
      <c r="H970" s="5"/>
      <c r="J970" s="5"/>
      <c r="L970" s="5"/>
    </row>
    <row r="971" spans="2:12" ht="18" customHeight="1">
      <c r="B971" s="5"/>
      <c r="D971" s="5"/>
      <c r="F971" s="5"/>
      <c r="H971" s="5"/>
      <c r="J971" s="5"/>
      <c r="L971" s="5"/>
    </row>
    <row r="972" spans="2:12" ht="18" customHeight="1">
      <c r="B972" s="5"/>
      <c r="D972" s="5"/>
      <c r="F972" s="5"/>
      <c r="H972" s="5"/>
      <c r="J972" s="5"/>
      <c r="L972" s="5"/>
    </row>
    <row r="973" spans="2:12" ht="18" customHeight="1">
      <c r="B973" s="5"/>
      <c r="D973" s="5"/>
      <c r="F973" s="5"/>
      <c r="H973" s="5"/>
      <c r="J973" s="5"/>
      <c r="L973" s="5"/>
    </row>
    <row r="974" spans="2:12" ht="18" customHeight="1">
      <c r="B974" s="5"/>
      <c r="D974" s="5"/>
      <c r="F974" s="5"/>
      <c r="H974" s="5"/>
      <c r="J974" s="5"/>
      <c r="L974" s="5"/>
    </row>
    <row r="975" spans="2:12" ht="18" customHeight="1">
      <c r="B975" s="5"/>
      <c r="D975" s="5"/>
      <c r="F975" s="5"/>
      <c r="H975" s="5"/>
      <c r="J975" s="5"/>
      <c r="L975" s="5"/>
    </row>
    <row r="976" spans="2:12" ht="18" customHeight="1">
      <c r="B976" s="5"/>
      <c r="D976" s="5"/>
      <c r="F976" s="5"/>
      <c r="H976" s="5"/>
      <c r="J976" s="5"/>
      <c r="L976" s="5"/>
    </row>
    <row r="977" spans="2:12" ht="18" customHeight="1">
      <c r="B977" s="5"/>
      <c r="D977" s="5"/>
      <c r="F977" s="5"/>
      <c r="H977" s="5"/>
      <c r="J977" s="5"/>
      <c r="L977" s="5"/>
    </row>
    <row r="978" spans="2:12" ht="18" customHeight="1">
      <c r="B978" s="5"/>
      <c r="D978" s="5"/>
      <c r="F978" s="5"/>
      <c r="H978" s="5"/>
      <c r="J978" s="5"/>
      <c r="L978" s="5"/>
    </row>
    <row r="979" spans="2:12" ht="18" customHeight="1">
      <c r="B979" s="5"/>
      <c r="D979" s="5"/>
      <c r="F979" s="5"/>
      <c r="H979" s="5"/>
      <c r="J979" s="5"/>
      <c r="L979" s="5"/>
    </row>
    <row r="980" spans="2:12" ht="18" customHeight="1">
      <c r="B980" s="5"/>
      <c r="D980" s="5"/>
      <c r="F980" s="5"/>
      <c r="H980" s="5"/>
      <c r="J980" s="5"/>
      <c r="L980" s="5"/>
    </row>
    <row r="981" spans="2:12" ht="18" customHeight="1">
      <c r="B981" s="5"/>
      <c r="D981" s="5"/>
      <c r="F981" s="5"/>
      <c r="H981" s="5"/>
      <c r="J981" s="5"/>
      <c r="L981" s="5"/>
    </row>
    <row r="982" spans="2:12" ht="18" customHeight="1">
      <c r="B982" s="5"/>
      <c r="D982" s="5"/>
      <c r="F982" s="5"/>
      <c r="H982" s="5"/>
      <c r="J982" s="5"/>
      <c r="L982" s="5"/>
    </row>
    <row r="983" spans="2:12" ht="18" customHeight="1">
      <c r="B983" s="5"/>
      <c r="D983" s="5"/>
      <c r="F983" s="5"/>
      <c r="H983" s="5"/>
      <c r="J983" s="5"/>
      <c r="L983" s="5"/>
    </row>
    <row r="984" spans="2:12" ht="18" customHeight="1">
      <c r="B984" s="5"/>
      <c r="D984" s="5"/>
      <c r="F984" s="5"/>
      <c r="H984" s="5"/>
      <c r="J984" s="5"/>
      <c r="L984" s="5"/>
    </row>
    <row r="985" spans="2:12" ht="18" customHeight="1">
      <c r="B985" s="5"/>
      <c r="D985" s="5"/>
      <c r="F985" s="5"/>
      <c r="H985" s="5"/>
      <c r="J985" s="5"/>
      <c r="L985" s="5"/>
    </row>
    <row r="986" spans="2:12" ht="18" customHeight="1">
      <c r="B986" s="5"/>
      <c r="D986" s="5"/>
      <c r="F986" s="5"/>
      <c r="H986" s="5"/>
      <c r="J986" s="5"/>
      <c r="L986" s="5"/>
    </row>
    <row r="987" spans="2:12" ht="18" customHeight="1">
      <c r="B987" s="5"/>
      <c r="D987" s="5"/>
      <c r="F987" s="5"/>
      <c r="H987" s="5"/>
      <c r="J987" s="5"/>
      <c r="L987" s="5"/>
    </row>
    <row r="988" spans="2:12" ht="18" customHeight="1">
      <c r="B988" s="5"/>
      <c r="D988" s="5"/>
      <c r="F988" s="5"/>
      <c r="H988" s="5"/>
      <c r="J988" s="5"/>
      <c r="L988" s="5"/>
    </row>
    <row r="989" spans="2:12" ht="18" customHeight="1">
      <c r="B989" s="5"/>
      <c r="D989" s="5"/>
      <c r="F989" s="5"/>
      <c r="H989" s="5"/>
      <c r="J989" s="5"/>
      <c r="L989" s="5"/>
    </row>
    <row r="990" spans="2:12" ht="18" customHeight="1">
      <c r="B990" s="5"/>
      <c r="D990" s="5"/>
      <c r="F990" s="5"/>
      <c r="H990" s="5"/>
      <c r="J990" s="5"/>
      <c r="L990" s="5"/>
    </row>
    <row r="991" spans="2:12" ht="18" customHeight="1">
      <c r="B991" s="5"/>
      <c r="D991" s="5"/>
      <c r="F991" s="5"/>
      <c r="H991" s="5"/>
      <c r="J991" s="5"/>
      <c r="L991" s="5"/>
    </row>
    <row r="992" spans="2:12" ht="18" customHeight="1">
      <c r="B992" s="5"/>
      <c r="D992" s="5"/>
      <c r="F992" s="5"/>
      <c r="H992" s="5"/>
      <c r="J992" s="5"/>
      <c r="L992" s="5"/>
    </row>
    <row r="993" spans="2:12" ht="18" customHeight="1">
      <c r="B993" s="5"/>
      <c r="D993" s="5"/>
      <c r="F993" s="5"/>
      <c r="H993" s="5"/>
      <c r="J993" s="5"/>
      <c r="L993" s="5"/>
    </row>
    <row r="994" spans="2:12" ht="18" customHeight="1">
      <c r="B994" s="5"/>
      <c r="D994" s="5"/>
      <c r="F994" s="5"/>
      <c r="H994" s="5"/>
      <c r="J994" s="5"/>
      <c r="L994" s="5"/>
    </row>
    <row r="995" spans="2:12" ht="18" customHeight="1">
      <c r="B995" s="5"/>
      <c r="D995" s="5"/>
      <c r="F995" s="5"/>
      <c r="H995" s="5"/>
      <c r="J995" s="5"/>
      <c r="L995" s="5"/>
    </row>
    <row r="996" spans="2:12" ht="18" customHeight="1">
      <c r="B996" s="5"/>
      <c r="D996" s="5"/>
      <c r="F996" s="5"/>
      <c r="H996" s="5"/>
      <c r="J996" s="5"/>
      <c r="L996" s="5"/>
    </row>
    <row r="997" spans="2:12" ht="18" customHeight="1">
      <c r="B997" s="5"/>
      <c r="D997" s="5"/>
      <c r="F997" s="5"/>
      <c r="H997" s="5"/>
      <c r="J997" s="5"/>
      <c r="L997" s="5"/>
    </row>
    <row r="998" spans="2:12" ht="18" customHeight="1">
      <c r="B998" s="5"/>
      <c r="D998" s="5"/>
      <c r="F998" s="5"/>
      <c r="H998" s="5"/>
      <c r="J998" s="5"/>
      <c r="L998" s="5"/>
    </row>
    <row r="999" spans="2:12" ht="18" customHeight="1">
      <c r="B999" s="5"/>
      <c r="D999" s="5"/>
      <c r="F999" s="5"/>
      <c r="H999" s="5"/>
      <c r="J999" s="5"/>
      <c r="L999" s="5"/>
    </row>
    <row r="1000" spans="2:12" ht="18" customHeight="1">
      <c r="B1000" s="5"/>
      <c r="D1000" s="5"/>
      <c r="F1000" s="5"/>
      <c r="H1000" s="5"/>
      <c r="J1000" s="5"/>
      <c r="L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1000"/>
  <sheetViews>
    <sheetView workbookViewId="0">
      <selection activeCell="B2" sqref="B2:M15"/>
    </sheetView>
  </sheetViews>
  <sheetFormatPr baseColWidth="10" defaultColWidth="8.83203125" defaultRowHeight="15"/>
  <cols>
    <col min="1" max="1" width="13" style="10" bestFit="1" customWidth="1"/>
    <col min="2" max="2" width="18.1640625" style="11" bestFit="1" customWidth="1"/>
    <col min="3" max="3" width="19.6640625" style="7" bestFit="1" customWidth="1"/>
    <col min="4" max="4" width="17.33203125" style="11" bestFit="1" customWidth="1"/>
    <col min="5" max="5" width="15" style="7" bestFit="1" customWidth="1"/>
    <col min="6" max="6" width="13" style="11" bestFit="1" customWidth="1"/>
    <col min="7" max="7" width="13" style="7" bestFit="1" customWidth="1"/>
    <col min="8" max="8" width="13" style="11" bestFit="1" customWidth="1"/>
    <col min="9" max="9" width="13" style="7" bestFit="1" customWidth="1"/>
    <col min="10" max="10" width="13" style="11" bestFit="1" customWidth="1"/>
    <col min="11" max="11" width="13" style="7" bestFit="1" customWidth="1"/>
    <col min="12" max="12" width="13" style="11" bestFit="1" customWidth="1"/>
    <col min="13" max="13" width="13" style="7" bestFit="1" customWidth="1"/>
  </cols>
  <sheetData>
    <row r="1" spans="1:13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</row>
    <row r="2" spans="1:13" ht="15.75" customHeight="1">
      <c r="A2" s="22">
        <v>45673</v>
      </c>
      <c r="B2" s="72">
        <v>-1.00349063578169E-16</v>
      </c>
      <c r="C2" s="68">
        <v>1.5100000000000001E-18</v>
      </c>
      <c r="D2" s="68"/>
      <c r="E2" s="75"/>
      <c r="F2" s="72">
        <v>-3.4451553662793E-17</v>
      </c>
      <c r="G2" s="68">
        <v>8.6200000000000004E-18</v>
      </c>
      <c r="H2" s="68"/>
      <c r="I2" s="75"/>
      <c r="J2" s="72">
        <v>-1.3509160092960101E-16</v>
      </c>
      <c r="K2" s="68">
        <v>8.0899999999999993E-18</v>
      </c>
      <c r="L2" s="68"/>
      <c r="M2" s="75"/>
    </row>
    <row r="3" spans="1:13" ht="15.75" customHeight="1">
      <c r="A3" s="47">
        <v>45681</v>
      </c>
      <c r="B3" s="72">
        <v>-9.6596607449792296E-17</v>
      </c>
      <c r="C3" s="68">
        <v>1.5400000000000001E-18</v>
      </c>
      <c r="D3" s="73">
        <v>-9.6923529714124399E-17</v>
      </c>
      <c r="E3" s="68">
        <v>2.1199999999999999E-18</v>
      </c>
      <c r="F3" s="72">
        <v>-1.29028898030403E-17</v>
      </c>
      <c r="G3" s="68">
        <v>1.208E-17</v>
      </c>
      <c r="H3" s="73">
        <v>-3.8264619302977602E-17</v>
      </c>
      <c r="I3" s="68">
        <v>1.2470000000000001E-17</v>
      </c>
      <c r="J3" s="72">
        <v>-1.1406293941948001E-16</v>
      </c>
      <c r="K3" s="68">
        <v>7.2599999999999999E-18</v>
      </c>
      <c r="L3" s="73">
        <v>-1.2529145493113101E-16</v>
      </c>
      <c r="M3" s="68">
        <v>9.0799999999999994E-18</v>
      </c>
    </row>
    <row r="4" spans="1:13" ht="15.75" customHeight="1">
      <c r="A4" s="47">
        <v>45692</v>
      </c>
      <c r="B4" s="72">
        <v>-1.0453038875395199E-16</v>
      </c>
      <c r="C4" s="68">
        <v>1.24E-18</v>
      </c>
      <c r="D4" s="73">
        <v>-1.0410572098461901E-16</v>
      </c>
      <c r="E4" s="68">
        <v>1.31E-18</v>
      </c>
      <c r="F4" s="72">
        <v>-2.23477345190815E-17</v>
      </c>
      <c r="G4" s="68">
        <v>4.4600000000000001E-18</v>
      </c>
      <c r="H4" s="73">
        <v>-2.2868016662032E-17</v>
      </c>
      <c r="I4" s="68">
        <v>4.5099999999999999E-18</v>
      </c>
      <c r="J4" s="72">
        <v>-1.2576081401119101E-16</v>
      </c>
      <c r="K4" s="68">
        <v>4.6000000000000002E-18</v>
      </c>
      <c r="L4" s="73">
        <v>-1.2595568810911601E-16</v>
      </c>
      <c r="M4" s="68">
        <v>4.63E-18</v>
      </c>
    </row>
    <row r="5" spans="1:13" ht="15.75" customHeight="1">
      <c r="A5" s="1">
        <v>45694</v>
      </c>
      <c r="B5" s="73">
        <v>-1.0293957880940999E-16</v>
      </c>
      <c r="C5" s="68">
        <v>1.6E-18</v>
      </c>
      <c r="D5" s="73">
        <v>-1.02517115600565E-16</v>
      </c>
      <c r="E5" s="68">
        <v>1.6500000000000001E-18</v>
      </c>
      <c r="F5" s="73">
        <v>-2.22160838432254E-17</v>
      </c>
      <c r="G5" s="68">
        <v>5.0300000000000002E-18</v>
      </c>
      <c r="H5" s="73">
        <v>-2.1593099769355101E-17</v>
      </c>
      <c r="I5" s="68">
        <v>5.0300000000000002E-18</v>
      </c>
      <c r="J5" s="73">
        <v>-1.2810470506039701E-16</v>
      </c>
      <c r="K5" s="68">
        <v>3.76E-18</v>
      </c>
      <c r="L5" s="73">
        <v>-1.27077327495885E-16</v>
      </c>
      <c r="M5" s="68">
        <v>3.7799999999999999E-18</v>
      </c>
    </row>
    <row r="6" spans="1:13" ht="15.75" customHeight="1">
      <c r="A6" s="47">
        <v>45715</v>
      </c>
      <c r="B6" s="72">
        <v>-1.06890032949776E-16</v>
      </c>
      <c r="C6" s="68">
        <v>1.3600000000000001E-18</v>
      </c>
      <c r="D6" s="73">
        <v>-1.0714631234651501E-16</v>
      </c>
      <c r="E6" s="68">
        <v>1.3600000000000001E-18</v>
      </c>
      <c r="F6" s="72">
        <v>-1.6175446306844098E-17</v>
      </c>
      <c r="G6" s="68">
        <v>4.2699999999999996E-18</v>
      </c>
      <c r="H6" s="73">
        <v>-1.6362290219522801E-17</v>
      </c>
      <c r="I6" s="68">
        <v>4.6599999999999999E-18</v>
      </c>
      <c r="J6" s="72">
        <v>-1.2278058252890299E-16</v>
      </c>
      <c r="K6" s="68">
        <v>4.4400000000000003E-18</v>
      </c>
      <c r="L6" s="73">
        <v>-1.2350975853032499E-16</v>
      </c>
      <c r="M6" s="68">
        <v>4.4200000000000004E-18</v>
      </c>
    </row>
    <row r="7" spans="1:13" ht="15.75" customHeight="1">
      <c r="A7" s="1">
        <v>45716</v>
      </c>
      <c r="B7" s="73">
        <v>-1.02434505892614E-16</v>
      </c>
      <c r="C7" s="68">
        <v>1.33E-18</v>
      </c>
      <c r="D7" s="73">
        <v>-1.0198789077764E-16</v>
      </c>
      <c r="E7" s="68">
        <v>1.33E-18</v>
      </c>
      <c r="F7" s="73">
        <v>-1.0511552098680801E-17</v>
      </c>
      <c r="G7" s="68">
        <v>4.4400000000000003E-18</v>
      </c>
      <c r="H7" s="73">
        <v>-1.0869698428591601E-17</v>
      </c>
      <c r="I7" s="68">
        <v>4.4400000000000003E-18</v>
      </c>
      <c r="J7" s="73">
        <v>-1.1378994930093999E-16</v>
      </c>
      <c r="K7" s="68">
        <v>4.0200000000000002E-18</v>
      </c>
      <c r="L7" s="73">
        <v>-1.1349518912894201E-16</v>
      </c>
      <c r="M7" s="68">
        <v>4.06E-18</v>
      </c>
    </row>
    <row r="8" spans="1:13" ht="15.75" customHeight="1">
      <c r="A8" s="47">
        <v>45720</v>
      </c>
      <c r="B8" s="72">
        <v>-1.03584109304423E-16</v>
      </c>
      <c r="C8" s="68">
        <v>1.2200000000000001E-18</v>
      </c>
      <c r="D8" s="73">
        <v>-1.03393204346244E-16</v>
      </c>
      <c r="E8" s="68">
        <v>1.23E-18</v>
      </c>
      <c r="F8" s="72">
        <v>-1.52785743147524E-17</v>
      </c>
      <c r="G8" s="68">
        <v>5.22E-18</v>
      </c>
      <c r="H8" s="73">
        <v>-1.4978383175771899E-17</v>
      </c>
      <c r="I8" s="68">
        <v>5.2599999999999997E-18</v>
      </c>
      <c r="J8" s="72">
        <v>-1.18971359778052E-16</v>
      </c>
      <c r="K8" s="68">
        <v>5.2499999999999998E-18</v>
      </c>
      <c r="L8" s="73">
        <v>-1.18606514738478E-16</v>
      </c>
      <c r="M8" s="68">
        <v>5.2799999999999996E-18</v>
      </c>
    </row>
    <row r="9" spans="1:13" ht="15.75" customHeight="1">
      <c r="A9" s="1">
        <v>45722</v>
      </c>
      <c r="B9" s="73">
        <v>-1.04268462490973E-16</v>
      </c>
      <c r="C9" s="68">
        <v>2.3000000000000001E-18</v>
      </c>
      <c r="D9" s="73">
        <v>-1.03408240578216E-16</v>
      </c>
      <c r="E9" s="68">
        <v>2.3000000000000001E-18</v>
      </c>
      <c r="F9" s="73">
        <v>-1.53840741733058E-17</v>
      </c>
      <c r="G9" s="68">
        <v>5.35E-18</v>
      </c>
      <c r="H9" s="73">
        <v>-1.5404421612315799E-17</v>
      </c>
      <c r="I9" s="68">
        <v>5.36E-18</v>
      </c>
      <c r="J9" s="73">
        <v>-1.21797965733725E-16</v>
      </c>
      <c r="K9" s="68">
        <v>5.4199999999999997E-18</v>
      </c>
      <c r="L9" s="73">
        <v>-1.2116710004036701E-16</v>
      </c>
      <c r="M9" s="68">
        <v>5.4300000000000004E-18</v>
      </c>
    </row>
    <row r="10" spans="1:13" ht="15.75" customHeight="1">
      <c r="A10" s="47">
        <v>45723</v>
      </c>
      <c r="B10" s="72">
        <v>-1.02486722734445E-16</v>
      </c>
      <c r="C10" s="68">
        <v>1.63E-18</v>
      </c>
      <c r="D10" s="73">
        <v>-1.02044384336662E-16</v>
      </c>
      <c r="E10" s="68">
        <v>1.6399999999999999E-18</v>
      </c>
      <c r="F10" s="72">
        <v>-2.5012425606139099E-17</v>
      </c>
      <c r="G10" s="68">
        <v>6.08E-18</v>
      </c>
      <c r="H10" s="73">
        <v>-2.4872221668733699E-17</v>
      </c>
      <c r="I10" s="68">
        <v>6.0100000000000004E-18</v>
      </c>
      <c r="J10" s="72">
        <v>-1.25703308310817E-16</v>
      </c>
      <c r="K10" s="68">
        <v>4.2499999999999997E-18</v>
      </c>
      <c r="L10" s="73">
        <v>-1.2464309772831599E-16</v>
      </c>
      <c r="M10" s="68">
        <v>4.2199999999999999E-18</v>
      </c>
    </row>
    <row r="11" spans="1:13" ht="15.75" customHeight="1">
      <c r="A11" s="1">
        <v>45729</v>
      </c>
      <c r="B11" s="73">
        <v>-1.05903727311478E-16</v>
      </c>
      <c r="C11" s="68">
        <v>1.37E-18</v>
      </c>
      <c r="D11" s="73">
        <v>-1.06063741920665E-16</v>
      </c>
      <c r="E11" s="68">
        <v>1.38E-18</v>
      </c>
      <c r="F11" s="73">
        <v>-1.4758676718038801E-17</v>
      </c>
      <c r="G11" s="68">
        <v>5.2299999999999999E-18</v>
      </c>
      <c r="H11" s="73">
        <v>-1.44138671247261E-17</v>
      </c>
      <c r="I11" s="68">
        <v>5.1700000000000002E-18</v>
      </c>
      <c r="J11" s="73">
        <v>-1.19536742816874E-16</v>
      </c>
      <c r="K11" s="68">
        <v>4.2E-18</v>
      </c>
      <c r="L11" s="73">
        <v>-1.19536742816874E-16</v>
      </c>
      <c r="M11" s="68">
        <v>4.2099999999999999E-18</v>
      </c>
    </row>
    <row r="12" spans="1:13" ht="15.75" customHeight="1">
      <c r="A12" s="47">
        <v>45734</v>
      </c>
      <c r="B12" s="72">
        <v>-1.04270392460781E-16</v>
      </c>
      <c r="C12" s="68">
        <v>2.6999999999999999E-18</v>
      </c>
      <c r="D12" s="73">
        <v>-1.0344581863491E-16</v>
      </c>
      <c r="E12" s="68">
        <v>2.6999999999999999E-18</v>
      </c>
      <c r="F12" s="72">
        <v>-1.5307903972718999E-17</v>
      </c>
      <c r="G12" s="68">
        <v>7.82E-18</v>
      </c>
      <c r="H12" s="73">
        <v>-1.5437645972163099E-17</v>
      </c>
      <c r="I12" s="68">
        <v>7.9100000000000003E-18</v>
      </c>
      <c r="J12" s="72">
        <v>-1.1816221371104299E-16</v>
      </c>
      <c r="K12" s="68">
        <v>9.6599999999999994E-18</v>
      </c>
      <c r="L12" s="73">
        <v>-1.17996890134968E-16</v>
      </c>
      <c r="M12" s="68">
        <v>9.8200000000000001E-18</v>
      </c>
    </row>
    <row r="13" spans="1:13" ht="15.75" customHeight="1">
      <c r="A13" s="1">
        <v>45736</v>
      </c>
      <c r="B13" s="73">
        <v>-1.0670724065088601E-16</v>
      </c>
      <c r="C13" s="68">
        <v>1.115E-18</v>
      </c>
      <c r="D13" s="73">
        <v>-1.06412519436688E-16</v>
      </c>
      <c r="E13" s="68">
        <v>1.2E-18</v>
      </c>
      <c r="F13" s="73">
        <v>-1.52281504743029E-17</v>
      </c>
      <c r="G13" s="68">
        <v>4.2299999999999998E-18</v>
      </c>
      <c r="H13" s="73">
        <v>-1.6325636542879099E-17</v>
      </c>
      <c r="I13" s="68">
        <v>4.19E-18</v>
      </c>
      <c r="J13" s="73">
        <v>-1.2257156909627501E-16</v>
      </c>
      <c r="K13" s="68">
        <v>4.1740000000000003E-18</v>
      </c>
      <c r="L13" s="73">
        <v>-1.2353961037258801E-16</v>
      </c>
      <c r="M13" s="68">
        <v>4.19E-18</v>
      </c>
    </row>
    <row r="14" spans="1:13" ht="15.75" customHeight="1">
      <c r="A14" s="1">
        <v>45737</v>
      </c>
      <c r="B14" s="73">
        <v>-1.07878788432729E-16</v>
      </c>
      <c r="C14" s="68">
        <v>1.4000000000000001E-18</v>
      </c>
      <c r="D14" s="73">
        <v>-1.0780137670258301E-16</v>
      </c>
      <c r="E14" s="68">
        <v>1.55E-18</v>
      </c>
      <c r="F14" s="73">
        <v>-1.0309672423355201E-17</v>
      </c>
      <c r="G14" s="68">
        <v>5.0999999999999998E-18</v>
      </c>
      <c r="H14" s="73">
        <v>-9.5110741525944499E-18</v>
      </c>
      <c r="I14" s="68">
        <v>5.3000000000000003E-18</v>
      </c>
      <c r="J14" s="73">
        <v>-1.2188835878953001E-16</v>
      </c>
      <c r="K14" s="68">
        <v>4.1099999999999997E-18</v>
      </c>
      <c r="L14" s="73">
        <v>-1.21613880834641E-16</v>
      </c>
      <c r="M14" s="68">
        <v>4.1199999999999996E-18</v>
      </c>
    </row>
    <row r="15" spans="1:13" ht="15.75" customHeight="1">
      <c r="B15" s="68"/>
      <c r="C15" s="75"/>
      <c r="D15" s="68"/>
      <c r="E15" s="75"/>
      <c r="F15" s="68"/>
      <c r="G15" s="75"/>
      <c r="H15" s="68"/>
      <c r="I15" s="75"/>
      <c r="J15" s="68"/>
      <c r="K15" s="75"/>
      <c r="L15" s="68"/>
      <c r="M15" s="75"/>
    </row>
    <row r="16" spans="1:13" ht="15.75" customHeight="1">
      <c r="B16" s="5"/>
      <c r="D16" s="5"/>
      <c r="F16" s="5"/>
      <c r="H16" s="5"/>
      <c r="J16" s="5"/>
      <c r="L16" s="5"/>
    </row>
    <row r="17" spans="1:13" ht="15.75" customHeight="1">
      <c r="B17" s="5"/>
      <c r="D17" s="5"/>
      <c r="F17" s="5"/>
      <c r="H17" s="5"/>
      <c r="J17" s="5"/>
      <c r="L17" s="5"/>
    </row>
    <row r="18" spans="1:13" ht="15.75" customHeight="1">
      <c r="B18" s="5"/>
      <c r="D18" s="5"/>
      <c r="F18" s="5"/>
      <c r="H18" s="5"/>
      <c r="J18" s="5"/>
      <c r="L18" s="5"/>
    </row>
    <row r="19" spans="1:13" ht="15.75" customHeight="1">
      <c r="B19" s="5"/>
      <c r="D19" s="5"/>
      <c r="F19" s="5"/>
      <c r="H19" s="5"/>
      <c r="J19" s="5"/>
      <c r="L19" s="5"/>
    </row>
    <row r="20" spans="1:13" ht="15.75" customHeight="1">
      <c r="B20" s="5"/>
      <c r="D20" s="5"/>
      <c r="F20" s="5"/>
      <c r="H20" s="5"/>
      <c r="J20" s="5"/>
      <c r="L20" s="5"/>
    </row>
    <row r="21" spans="1:13" ht="15.75" customHeight="1">
      <c r="B21" s="5"/>
      <c r="D21" s="5"/>
      <c r="F21" s="5"/>
      <c r="H21" s="5"/>
      <c r="J21" s="5"/>
      <c r="L21" s="5"/>
    </row>
    <row r="22" spans="1:13" ht="15.75" customHeight="1">
      <c r="B22" s="5"/>
      <c r="D22" s="5"/>
      <c r="F22" s="5"/>
      <c r="H22" s="5"/>
      <c r="J22" s="5"/>
      <c r="L22" s="5"/>
    </row>
    <row r="23" spans="1:13" ht="15.75" customHeight="1">
      <c r="B23" s="5"/>
      <c r="D23" s="5"/>
      <c r="F23" s="5"/>
      <c r="H23" s="5"/>
      <c r="J23" s="5"/>
      <c r="L23" s="5"/>
    </row>
    <row r="24" spans="1:13" ht="15.75" customHeight="1">
      <c r="B24" s="5"/>
      <c r="D24" s="5"/>
      <c r="F24" s="5"/>
      <c r="H24" s="5"/>
      <c r="J24" s="5"/>
      <c r="L24" s="5"/>
    </row>
    <row r="25" spans="1:13" ht="15.75" customHeight="1">
      <c r="B25" s="5"/>
      <c r="D25" s="5"/>
      <c r="F25" s="5"/>
      <c r="H25" s="5"/>
      <c r="J25" s="5"/>
      <c r="L25" s="5"/>
    </row>
    <row r="26" spans="1:13" ht="15.75" customHeight="1">
      <c r="B26" s="5"/>
      <c r="D26" s="5"/>
      <c r="F26" s="5"/>
      <c r="H26" s="5"/>
      <c r="J26" s="5"/>
      <c r="L26" s="5"/>
    </row>
    <row r="27" spans="1:13" ht="15.75" customHeight="1">
      <c r="A27" s="4"/>
      <c r="B27" s="8"/>
      <c r="C27" s="6"/>
      <c r="D27" s="5"/>
      <c r="F27" s="8"/>
      <c r="G27" s="6"/>
      <c r="H27" s="5"/>
      <c r="J27" s="8"/>
      <c r="K27" s="6"/>
      <c r="L27" s="5"/>
    </row>
    <row r="28" spans="1:13" ht="15.75" customHeight="1">
      <c r="A28" s="1"/>
      <c r="B28" s="8"/>
      <c r="C28" s="6"/>
      <c r="D28" s="8"/>
      <c r="E28" s="6"/>
      <c r="F28" s="8"/>
      <c r="G28" s="6"/>
      <c r="H28" s="8"/>
      <c r="I28" s="6"/>
      <c r="J28" s="8"/>
      <c r="K28" s="6"/>
      <c r="L28" s="8"/>
      <c r="M28" s="6"/>
    </row>
    <row r="29" spans="1:13" ht="15.75" customHeight="1">
      <c r="A29" s="1"/>
      <c r="B29" s="8"/>
      <c r="C29" s="6"/>
      <c r="D29" s="8"/>
      <c r="E29" s="6"/>
      <c r="F29" s="8"/>
      <c r="G29" s="6"/>
      <c r="H29" s="8"/>
      <c r="I29" s="6"/>
      <c r="J29" s="8"/>
      <c r="K29" s="6"/>
      <c r="L29" s="8"/>
      <c r="M29" s="6"/>
    </row>
    <row r="30" spans="1:13" ht="15.75" customHeight="1">
      <c r="A30" s="1"/>
      <c r="B30" s="8"/>
      <c r="C30" s="6"/>
      <c r="D30" s="8"/>
      <c r="E30" s="6"/>
      <c r="F30" s="8"/>
      <c r="G30" s="6"/>
      <c r="H30" s="8"/>
      <c r="I30" s="6"/>
      <c r="J30" s="8"/>
      <c r="K30" s="6"/>
      <c r="L30" s="8"/>
      <c r="M30" s="6"/>
    </row>
    <row r="31" spans="1:13" ht="15.75" customHeight="1">
      <c r="A31" s="1"/>
      <c r="B31" s="8"/>
      <c r="C31" s="6"/>
      <c r="D31" s="8"/>
      <c r="E31" s="6"/>
      <c r="F31" s="8"/>
      <c r="G31" s="6"/>
      <c r="H31" s="8"/>
      <c r="I31" s="6"/>
      <c r="J31" s="8"/>
      <c r="K31" s="6"/>
      <c r="L31" s="8"/>
      <c r="M31" s="6"/>
    </row>
    <row r="32" spans="1:13" ht="15.75" customHeight="1">
      <c r="A32" s="1"/>
      <c r="B32" s="8"/>
      <c r="C32" s="6"/>
      <c r="D32" s="8"/>
      <c r="E32" s="6"/>
      <c r="F32" s="8"/>
      <c r="G32" s="6"/>
      <c r="H32" s="8"/>
      <c r="I32" s="6"/>
      <c r="J32" s="8"/>
      <c r="K32" s="6"/>
      <c r="L32" s="8"/>
      <c r="M32" s="6"/>
    </row>
    <row r="33" spans="1:13" ht="15.75" customHeight="1">
      <c r="A33" s="1"/>
      <c r="B33" s="8"/>
      <c r="C33" s="6"/>
      <c r="D33" s="8"/>
      <c r="E33" s="6"/>
      <c r="F33" s="8"/>
      <c r="G33" s="6"/>
      <c r="H33" s="8"/>
      <c r="I33" s="6"/>
      <c r="J33" s="8"/>
      <c r="K33" s="6"/>
      <c r="L33" s="8"/>
      <c r="M33" s="6"/>
    </row>
    <row r="34" spans="1:13" ht="15.75" customHeight="1">
      <c r="A34" s="1"/>
      <c r="B34" s="8"/>
      <c r="C34" s="6"/>
      <c r="D34" s="8"/>
      <c r="E34" s="6"/>
      <c r="F34" s="8"/>
      <c r="G34" s="6"/>
      <c r="H34" s="8"/>
      <c r="I34" s="6"/>
      <c r="J34" s="8"/>
      <c r="K34" s="6"/>
      <c r="L34" s="8"/>
      <c r="M34" s="6"/>
    </row>
    <row r="35" spans="1:13" ht="15.75" customHeight="1">
      <c r="A35" s="1"/>
      <c r="B35" s="8"/>
      <c r="C35" s="6"/>
      <c r="D35" s="8"/>
      <c r="E35" s="6"/>
      <c r="F35" s="8"/>
      <c r="G35" s="6"/>
      <c r="H35" s="8"/>
      <c r="I35" s="6"/>
      <c r="J35" s="8"/>
      <c r="K35" s="6"/>
      <c r="L35" s="8"/>
      <c r="M35" s="6"/>
    </row>
    <row r="36" spans="1:13" ht="15.75" customHeight="1">
      <c r="A36" s="1"/>
      <c r="B36" s="8"/>
      <c r="C36" s="6"/>
      <c r="D36" s="8"/>
      <c r="E36" s="6"/>
      <c r="F36" s="8"/>
      <c r="G36" s="6"/>
      <c r="H36" s="8"/>
      <c r="I36" s="6"/>
      <c r="J36" s="8"/>
      <c r="K36" s="6"/>
      <c r="L36" s="8"/>
      <c r="M36" s="6"/>
    </row>
    <row r="37" spans="1:13" ht="15.75" customHeight="1">
      <c r="A37" s="1"/>
      <c r="B37" s="8"/>
      <c r="C37" s="6"/>
      <c r="D37" s="8"/>
      <c r="E37" s="6"/>
      <c r="F37" s="8"/>
      <c r="G37" s="6"/>
      <c r="H37" s="8"/>
      <c r="I37" s="6"/>
      <c r="J37" s="8"/>
      <c r="K37" s="6"/>
      <c r="L37" s="8"/>
      <c r="M37" s="6"/>
    </row>
    <row r="38" spans="1:13" ht="15.75" customHeight="1">
      <c r="A38" s="1"/>
      <c r="B38" s="8"/>
      <c r="C38" s="6"/>
      <c r="D38" s="8"/>
      <c r="E38" s="6"/>
      <c r="F38" s="8"/>
      <c r="G38" s="6"/>
      <c r="H38" s="8"/>
      <c r="I38" s="6"/>
      <c r="J38" s="8"/>
      <c r="K38" s="6"/>
      <c r="L38" s="8"/>
      <c r="M38" s="6"/>
    </row>
    <row r="39" spans="1:13" ht="15.75" customHeight="1">
      <c r="A39" s="1"/>
      <c r="B39" s="8"/>
      <c r="C39" s="6"/>
      <c r="D39" s="8"/>
      <c r="E39" s="6"/>
      <c r="F39" s="8"/>
      <c r="G39" s="6"/>
      <c r="H39" s="8"/>
      <c r="I39" s="6"/>
      <c r="J39" s="8"/>
      <c r="K39" s="6"/>
      <c r="L39" s="8"/>
      <c r="M39" s="6"/>
    </row>
    <row r="40" spans="1:13" ht="15.75" customHeight="1">
      <c r="B40" s="5"/>
      <c r="D40" s="5"/>
      <c r="F40" s="5"/>
      <c r="H40" s="5"/>
      <c r="J40" s="5"/>
      <c r="L40" s="5"/>
    </row>
    <row r="41" spans="1:13" ht="15.75" customHeight="1">
      <c r="B41" s="5"/>
      <c r="D41" s="5"/>
      <c r="F41" s="5"/>
      <c r="H41" s="5"/>
      <c r="J41" s="5"/>
      <c r="L41" s="5"/>
    </row>
    <row r="42" spans="1:13" ht="15.75" customHeight="1">
      <c r="B42" s="5"/>
      <c r="D42" s="5"/>
      <c r="F42" s="5"/>
      <c r="H42" s="5"/>
      <c r="J42" s="5"/>
      <c r="L42" s="5"/>
    </row>
    <row r="43" spans="1:13" ht="15.75" customHeight="1">
      <c r="B43" s="5"/>
      <c r="D43" s="5"/>
      <c r="F43" s="5"/>
      <c r="H43" s="5"/>
      <c r="J43" s="5"/>
      <c r="L43" s="5"/>
    </row>
    <row r="44" spans="1:13" ht="15.75" customHeight="1">
      <c r="B44" s="5"/>
      <c r="D44" s="5"/>
      <c r="F44" s="5"/>
      <c r="H44" s="5"/>
      <c r="J44" s="5"/>
      <c r="L44" s="5"/>
    </row>
    <row r="45" spans="1:13" ht="15.75" customHeight="1">
      <c r="B45" s="5"/>
      <c r="D45" s="5"/>
      <c r="F45" s="5"/>
      <c r="H45" s="5"/>
      <c r="J45" s="5"/>
      <c r="L45" s="5"/>
    </row>
    <row r="46" spans="1:13" ht="15.75" customHeight="1">
      <c r="B46" s="5"/>
      <c r="D46" s="5"/>
      <c r="F46" s="5"/>
      <c r="H46" s="5"/>
      <c r="J46" s="5"/>
      <c r="L46" s="5"/>
    </row>
    <row r="47" spans="1:13" ht="15.75" customHeight="1">
      <c r="B47" s="5"/>
      <c r="D47" s="5"/>
      <c r="F47" s="5"/>
      <c r="H47" s="5"/>
      <c r="J47" s="5"/>
      <c r="L47" s="5"/>
    </row>
    <row r="48" spans="1:13" ht="15.75" customHeight="1">
      <c r="B48" s="5"/>
      <c r="D48" s="5"/>
      <c r="F48" s="5"/>
      <c r="H48" s="5"/>
      <c r="J48" s="5"/>
      <c r="L48" s="5"/>
    </row>
    <row r="49" spans="2:12" ht="18" customHeight="1">
      <c r="B49" s="5"/>
      <c r="D49" s="5"/>
      <c r="F49" s="5"/>
      <c r="H49" s="5"/>
      <c r="J49" s="5"/>
      <c r="L49" s="5"/>
    </row>
    <row r="50" spans="2:12" ht="18" customHeight="1">
      <c r="B50" s="5"/>
      <c r="D50" s="5"/>
      <c r="F50" s="5"/>
      <c r="H50" s="5"/>
      <c r="J50" s="5"/>
      <c r="L50" s="5"/>
    </row>
    <row r="51" spans="2:12" ht="18" customHeight="1">
      <c r="B51" s="5"/>
      <c r="D51" s="5"/>
      <c r="F51" s="5"/>
      <c r="H51" s="5"/>
      <c r="J51" s="5"/>
      <c r="L51" s="5"/>
    </row>
    <row r="52" spans="2:12" ht="18" customHeight="1">
      <c r="B52" s="5"/>
      <c r="D52" s="5"/>
      <c r="F52" s="5"/>
      <c r="H52" s="5"/>
      <c r="J52" s="5"/>
      <c r="L52" s="5"/>
    </row>
    <row r="53" spans="2:12" ht="18" customHeight="1">
      <c r="B53" s="5"/>
      <c r="D53" s="5"/>
      <c r="F53" s="5"/>
      <c r="H53" s="5"/>
      <c r="J53" s="5"/>
      <c r="L53" s="5"/>
    </row>
    <row r="54" spans="2:12" ht="18" customHeight="1">
      <c r="B54" s="5"/>
      <c r="D54" s="5"/>
      <c r="F54" s="5"/>
      <c r="H54" s="5"/>
      <c r="J54" s="5"/>
      <c r="L54" s="5"/>
    </row>
    <row r="55" spans="2:12" ht="18" customHeight="1">
      <c r="B55" s="5"/>
      <c r="D55" s="5"/>
      <c r="F55" s="5"/>
      <c r="H55" s="5"/>
      <c r="J55" s="5"/>
      <c r="L55" s="5"/>
    </row>
    <row r="56" spans="2:12" ht="18" customHeight="1">
      <c r="B56" s="5"/>
      <c r="D56" s="5"/>
      <c r="F56" s="5"/>
      <c r="H56" s="5"/>
      <c r="J56" s="5"/>
      <c r="L56" s="5"/>
    </row>
    <row r="57" spans="2:12" ht="18" customHeight="1">
      <c r="B57" s="5"/>
      <c r="D57" s="5"/>
      <c r="F57" s="5"/>
      <c r="H57" s="5"/>
      <c r="J57" s="5"/>
      <c r="L57" s="5"/>
    </row>
    <row r="58" spans="2:12" ht="18" customHeight="1">
      <c r="B58" s="5"/>
      <c r="D58" s="5"/>
      <c r="F58" s="5"/>
      <c r="H58" s="5"/>
      <c r="J58" s="5"/>
      <c r="L58" s="5"/>
    </row>
    <row r="59" spans="2:12" ht="18" customHeight="1">
      <c r="B59" s="5"/>
      <c r="D59" s="5"/>
      <c r="F59" s="5"/>
      <c r="H59" s="5"/>
      <c r="J59" s="5"/>
      <c r="L59" s="5"/>
    </row>
    <row r="60" spans="2:12" ht="18" customHeight="1">
      <c r="B60" s="5"/>
      <c r="D60" s="5"/>
      <c r="F60" s="5"/>
      <c r="H60" s="5"/>
      <c r="J60" s="5"/>
      <c r="L60" s="5"/>
    </row>
    <row r="61" spans="2:12" ht="18" customHeight="1">
      <c r="B61" s="5"/>
      <c r="D61" s="5"/>
      <c r="F61" s="5"/>
      <c r="H61" s="5"/>
      <c r="J61" s="5"/>
      <c r="L61" s="5"/>
    </row>
    <row r="62" spans="2:12" ht="18" customHeight="1">
      <c r="B62" s="5"/>
      <c r="D62" s="5"/>
      <c r="F62" s="5"/>
      <c r="H62" s="5"/>
      <c r="J62" s="5"/>
      <c r="L62" s="5"/>
    </row>
    <row r="63" spans="2:12" ht="18" customHeight="1">
      <c r="B63" s="5"/>
      <c r="D63" s="5"/>
      <c r="F63" s="5"/>
      <c r="H63" s="5"/>
      <c r="J63" s="5"/>
      <c r="L63" s="5"/>
    </row>
    <row r="64" spans="2:12" ht="18" customHeight="1">
      <c r="B64" s="5"/>
      <c r="D64" s="5"/>
      <c r="F64" s="5"/>
      <c r="H64" s="5"/>
      <c r="J64" s="5"/>
      <c r="L64" s="5"/>
    </row>
    <row r="65" spans="2:12" ht="18" customHeight="1">
      <c r="B65" s="5"/>
      <c r="D65" s="5"/>
      <c r="F65" s="5"/>
      <c r="H65" s="5"/>
      <c r="J65" s="5"/>
      <c r="L65" s="5"/>
    </row>
    <row r="66" spans="2:12" ht="18" customHeight="1">
      <c r="B66" s="5"/>
      <c r="D66" s="5"/>
      <c r="F66" s="5"/>
      <c r="H66" s="5"/>
      <c r="J66" s="5"/>
      <c r="L66" s="5"/>
    </row>
    <row r="67" spans="2:12" ht="18" customHeight="1">
      <c r="B67" s="5"/>
      <c r="D67" s="5"/>
      <c r="F67" s="5"/>
      <c r="H67" s="5"/>
      <c r="J67" s="5"/>
      <c r="L67" s="5"/>
    </row>
    <row r="68" spans="2:12" ht="18" customHeight="1">
      <c r="B68" s="5"/>
      <c r="D68" s="5"/>
      <c r="F68" s="5"/>
      <c r="H68" s="5"/>
      <c r="J68" s="5"/>
      <c r="L68" s="5"/>
    </row>
    <row r="69" spans="2:12" ht="18" customHeight="1">
      <c r="B69" s="5"/>
      <c r="D69" s="5"/>
      <c r="F69" s="5"/>
      <c r="H69" s="5"/>
      <c r="J69" s="5"/>
      <c r="L69" s="5"/>
    </row>
    <row r="70" spans="2:12" ht="18" customHeight="1">
      <c r="B70" s="5"/>
      <c r="D70" s="5"/>
      <c r="F70" s="5"/>
      <c r="H70" s="5"/>
      <c r="J70" s="5"/>
      <c r="L70" s="5"/>
    </row>
    <row r="71" spans="2:12" ht="18" customHeight="1">
      <c r="B71" s="5"/>
      <c r="D71" s="5"/>
      <c r="F71" s="5"/>
      <c r="H71" s="5"/>
      <c r="J71" s="5"/>
      <c r="L71" s="5"/>
    </row>
    <row r="72" spans="2:12" ht="18" customHeight="1">
      <c r="B72" s="5"/>
      <c r="D72" s="5"/>
      <c r="F72" s="5"/>
      <c r="H72" s="5"/>
      <c r="J72" s="5"/>
      <c r="L72" s="5"/>
    </row>
    <row r="73" spans="2:12" ht="18" customHeight="1">
      <c r="B73" s="5"/>
      <c r="D73" s="5"/>
      <c r="F73" s="5"/>
      <c r="H73" s="5"/>
      <c r="J73" s="5"/>
      <c r="L73" s="5"/>
    </row>
    <row r="74" spans="2:12" ht="18" customHeight="1">
      <c r="B74" s="5"/>
      <c r="D74" s="5"/>
      <c r="F74" s="5"/>
      <c r="H74" s="5"/>
      <c r="J74" s="5"/>
      <c r="L74" s="5"/>
    </row>
    <row r="75" spans="2:12" ht="18" customHeight="1">
      <c r="B75" s="5"/>
      <c r="D75" s="5"/>
      <c r="F75" s="5"/>
      <c r="H75" s="5"/>
      <c r="J75" s="5"/>
      <c r="L75" s="5"/>
    </row>
    <row r="76" spans="2:12" ht="18" customHeight="1">
      <c r="B76" s="5"/>
      <c r="D76" s="5"/>
      <c r="F76" s="5"/>
      <c r="H76" s="5"/>
      <c r="J76" s="5"/>
      <c r="L76" s="5"/>
    </row>
    <row r="77" spans="2:12" ht="18" customHeight="1">
      <c r="B77" s="5"/>
      <c r="D77" s="5"/>
      <c r="F77" s="5"/>
      <c r="H77" s="5"/>
      <c r="J77" s="5"/>
      <c r="L77" s="5"/>
    </row>
    <row r="78" spans="2:12" ht="18" customHeight="1">
      <c r="B78" s="5"/>
      <c r="D78" s="5"/>
      <c r="F78" s="5"/>
      <c r="H78" s="5"/>
      <c r="J78" s="5"/>
      <c r="L78" s="5"/>
    </row>
    <row r="79" spans="2:12" ht="18" customHeight="1">
      <c r="B79" s="5"/>
      <c r="D79" s="5"/>
      <c r="F79" s="5"/>
      <c r="H79" s="5"/>
      <c r="J79" s="5"/>
      <c r="L79" s="5"/>
    </row>
    <row r="80" spans="2:12" ht="18" customHeight="1">
      <c r="B80" s="5"/>
      <c r="D80" s="5"/>
      <c r="F80" s="5"/>
      <c r="H80" s="5"/>
      <c r="J80" s="5"/>
      <c r="L80" s="5"/>
    </row>
    <row r="81" spans="2:12" ht="18" customHeight="1">
      <c r="B81" s="5"/>
      <c r="D81" s="5"/>
      <c r="F81" s="5"/>
      <c r="H81" s="5"/>
      <c r="J81" s="5"/>
      <c r="L81" s="5"/>
    </row>
    <row r="82" spans="2:12" ht="18" customHeight="1">
      <c r="B82" s="5"/>
      <c r="D82" s="5"/>
      <c r="F82" s="5"/>
      <c r="H82" s="5"/>
      <c r="J82" s="5"/>
      <c r="L82" s="5"/>
    </row>
    <row r="83" spans="2:12" ht="18" customHeight="1">
      <c r="B83" s="5"/>
      <c r="D83" s="5"/>
      <c r="F83" s="5"/>
      <c r="H83" s="5"/>
      <c r="J83" s="5"/>
      <c r="L83" s="5"/>
    </row>
    <row r="84" spans="2:12" ht="18" customHeight="1">
      <c r="B84" s="5"/>
      <c r="D84" s="5"/>
      <c r="F84" s="5"/>
      <c r="H84" s="5"/>
      <c r="J84" s="5"/>
      <c r="L84" s="5"/>
    </row>
    <row r="85" spans="2:12" ht="18" customHeight="1">
      <c r="B85" s="5"/>
      <c r="D85" s="5"/>
      <c r="F85" s="5"/>
      <c r="H85" s="5"/>
      <c r="J85" s="5"/>
      <c r="L85" s="5"/>
    </row>
    <row r="86" spans="2:12" ht="18" customHeight="1">
      <c r="B86" s="5"/>
      <c r="D86" s="5"/>
      <c r="F86" s="5"/>
      <c r="H86" s="5"/>
      <c r="J86" s="5"/>
      <c r="L86" s="5"/>
    </row>
    <row r="87" spans="2:12" ht="18" customHeight="1">
      <c r="B87" s="5"/>
      <c r="D87" s="5"/>
      <c r="F87" s="5"/>
      <c r="H87" s="5"/>
      <c r="J87" s="5"/>
      <c r="L87" s="5"/>
    </row>
    <row r="88" spans="2:12" ht="18" customHeight="1">
      <c r="B88" s="5"/>
      <c r="D88" s="5"/>
      <c r="F88" s="5"/>
      <c r="H88" s="5"/>
      <c r="J88" s="5"/>
      <c r="L88" s="5"/>
    </row>
    <row r="89" spans="2:12" ht="18" customHeight="1">
      <c r="B89" s="5"/>
      <c r="D89" s="5"/>
      <c r="F89" s="5"/>
      <c r="H89" s="5"/>
      <c r="J89" s="5"/>
      <c r="L89" s="5"/>
    </row>
    <row r="90" spans="2:12" ht="18" customHeight="1">
      <c r="B90" s="5"/>
      <c r="D90" s="5"/>
      <c r="F90" s="5"/>
      <c r="H90" s="5"/>
      <c r="J90" s="5"/>
      <c r="L90" s="5"/>
    </row>
    <row r="91" spans="2:12" ht="18" customHeight="1">
      <c r="B91" s="5"/>
      <c r="D91" s="5"/>
      <c r="F91" s="5"/>
      <c r="H91" s="5"/>
      <c r="J91" s="5"/>
      <c r="L91" s="5"/>
    </row>
    <row r="92" spans="2:12" ht="18" customHeight="1">
      <c r="B92" s="5"/>
      <c r="D92" s="5"/>
      <c r="F92" s="5"/>
      <c r="H92" s="5"/>
      <c r="J92" s="5"/>
      <c r="L92" s="5"/>
    </row>
    <row r="93" spans="2:12" ht="18" customHeight="1">
      <c r="B93" s="5"/>
      <c r="D93" s="5"/>
      <c r="F93" s="5"/>
      <c r="H93" s="5"/>
      <c r="J93" s="5"/>
      <c r="L93" s="5"/>
    </row>
    <row r="94" spans="2:12" ht="18" customHeight="1">
      <c r="B94" s="5"/>
      <c r="D94" s="5"/>
      <c r="F94" s="5"/>
      <c r="H94" s="5"/>
      <c r="J94" s="5"/>
      <c r="L94" s="5"/>
    </row>
    <row r="95" spans="2:12" ht="18" customHeight="1">
      <c r="B95" s="5"/>
      <c r="D95" s="5"/>
      <c r="F95" s="5"/>
      <c r="H95" s="5"/>
      <c r="J95" s="5"/>
      <c r="L95" s="5"/>
    </row>
    <row r="96" spans="2:12" ht="18" customHeight="1">
      <c r="B96" s="5"/>
      <c r="D96" s="5"/>
      <c r="F96" s="5"/>
      <c r="H96" s="5"/>
      <c r="J96" s="5"/>
      <c r="L96" s="5"/>
    </row>
    <row r="97" spans="2:12" ht="18" customHeight="1">
      <c r="B97" s="5"/>
      <c r="D97" s="5"/>
      <c r="F97" s="5"/>
      <c r="H97" s="5"/>
      <c r="J97" s="5"/>
      <c r="L97" s="5"/>
    </row>
    <row r="98" spans="2:12" ht="18" customHeight="1">
      <c r="B98" s="5"/>
      <c r="D98" s="5"/>
      <c r="F98" s="5"/>
      <c r="H98" s="5"/>
      <c r="J98" s="5"/>
      <c r="L98" s="5"/>
    </row>
    <row r="99" spans="2:12" ht="18" customHeight="1">
      <c r="B99" s="5"/>
      <c r="D99" s="5"/>
      <c r="F99" s="5"/>
      <c r="H99" s="5"/>
      <c r="J99" s="5"/>
      <c r="L99" s="5"/>
    </row>
    <row r="100" spans="2:12" ht="18" customHeight="1">
      <c r="B100" s="5"/>
      <c r="D100" s="5"/>
      <c r="F100" s="5"/>
      <c r="H100" s="5"/>
      <c r="J100" s="5"/>
      <c r="L100" s="5"/>
    </row>
    <row r="101" spans="2:12" ht="18" customHeight="1">
      <c r="B101" s="5"/>
      <c r="D101" s="5"/>
      <c r="F101" s="5"/>
      <c r="H101" s="5"/>
      <c r="J101" s="5"/>
      <c r="L101" s="5"/>
    </row>
    <row r="102" spans="2:12" ht="18" customHeight="1">
      <c r="B102" s="5"/>
      <c r="D102" s="5"/>
      <c r="F102" s="5"/>
      <c r="H102" s="5"/>
      <c r="J102" s="5"/>
      <c r="L102" s="5"/>
    </row>
    <row r="103" spans="2:12" ht="18" customHeight="1">
      <c r="B103" s="5"/>
      <c r="D103" s="5"/>
      <c r="F103" s="5"/>
      <c r="H103" s="5"/>
      <c r="J103" s="5"/>
      <c r="L103" s="5"/>
    </row>
    <row r="104" spans="2:12" ht="18" customHeight="1">
      <c r="B104" s="5"/>
      <c r="D104" s="5"/>
      <c r="F104" s="5"/>
      <c r="H104" s="5"/>
      <c r="J104" s="5"/>
      <c r="L104" s="5"/>
    </row>
    <row r="105" spans="2:12" ht="18" customHeight="1">
      <c r="B105" s="5"/>
      <c r="D105" s="5"/>
      <c r="F105" s="5"/>
      <c r="H105" s="5"/>
      <c r="J105" s="5"/>
      <c r="L105" s="5"/>
    </row>
    <row r="106" spans="2:12" ht="18" customHeight="1">
      <c r="B106" s="5"/>
      <c r="D106" s="5"/>
      <c r="F106" s="5"/>
      <c r="H106" s="5"/>
      <c r="J106" s="5"/>
      <c r="L106" s="5"/>
    </row>
    <row r="107" spans="2:12" ht="18" customHeight="1">
      <c r="B107" s="5"/>
      <c r="D107" s="5"/>
      <c r="F107" s="5"/>
      <c r="H107" s="5"/>
      <c r="J107" s="5"/>
      <c r="L107" s="5"/>
    </row>
    <row r="108" spans="2:12" ht="18" customHeight="1">
      <c r="B108" s="5"/>
      <c r="D108" s="5"/>
      <c r="F108" s="5"/>
      <c r="H108" s="5"/>
      <c r="J108" s="5"/>
      <c r="L108" s="5"/>
    </row>
    <row r="109" spans="2:12" ht="18" customHeight="1">
      <c r="B109" s="5"/>
      <c r="D109" s="5"/>
      <c r="F109" s="5"/>
      <c r="H109" s="5"/>
      <c r="J109" s="5"/>
      <c r="L109" s="5"/>
    </row>
    <row r="110" spans="2:12" ht="18" customHeight="1">
      <c r="B110" s="5"/>
      <c r="D110" s="5"/>
      <c r="F110" s="5"/>
      <c r="H110" s="5"/>
      <c r="J110" s="5"/>
      <c r="L110" s="5"/>
    </row>
    <row r="111" spans="2:12" ht="18" customHeight="1">
      <c r="B111" s="5"/>
      <c r="D111" s="5"/>
      <c r="F111" s="5"/>
      <c r="H111" s="5"/>
      <c r="J111" s="5"/>
      <c r="L111" s="5"/>
    </row>
    <row r="112" spans="2:12" ht="18" customHeight="1">
      <c r="B112" s="5"/>
      <c r="D112" s="5"/>
      <c r="F112" s="5"/>
      <c r="H112" s="5"/>
      <c r="J112" s="5"/>
      <c r="L112" s="5"/>
    </row>
    <row r="113" spans="2:12" ht="18" customHeight="1">
      <c r="B113" s="5"/>
      <c r="D113" s="5"/>
      <c r="F113" s="5"/>
      <c r="H113" s="5"/>
      <c r="J113" s="5"/>
      <c r="L113" s="5"/>
    </row>
    <row r="114" spans="2:12" ht="18" customHeight="1">
      <c r="B114" s="5"/>
      <c r="D114" s="5"/>
      <c r="F114" s="5"/>
      <c r="H114" s="5"/>
      <c r="J114" s="5"/>
      <c r="L114" s="5"/>
    </row>
    <row r="115" spans="2:12" ht="18" customHeight="1">
      <c r="B115" s="5"/>
      <c r="D115" s="5"/>
      <c r="F115" s="5"/>
      <c r="H115" s="5"/>
      <c r="J115" s="5"/>
      <c r="L115" s="5"/>
    </row>
    <row r="116" spans="2:12" ht="18" customHeight="1">
      <c r="B116" s="5"/>
      <c r="D116" s="5"/>
      <c r="F116" s="5"/>
      <c r="H116" s="5"/>
      <c r="J116" s="5"/>
      <c r="L116" s="5"/>
    </row>
    <row r="117" spans="2:12" ht="18" customHeight="1">
      <c r="B117" s="5"/>
      <c r="D117" s="5"/>
      <c r="F117" s="5"/>
      <c r="H117" s="5"/>
      <c r="J117" s="5"/>
      <c r="L117" s="5"/>
    </row>
    <row r="118" spans="2:12" ht="18" customHeight="1">
      <c r="B118" s="5"/>
      <c r="D118" s="5"/>
      <c r="F118" s="5"/>
      <c r="H118" s="5"/>
      <c r="J118" s="5"/>
      <c r="L118" s="5"/>
    </row>
    <row r="119" spans="2:12" ht="18" customHeight="1">
      <c r="B119" s="5"/>
      <c r="D119" s="5"/>
      <c r="F119" s="5"/>
      <c r="H119" s="5"/>
      <c r="J119" s="5"/>
      <c r="L119" s="5"/>
    </row>
    <row r="120" spans="2:12" ht="18" customHeight="1">
      <c r="B120" s="5"/>
      <c r="D120" s="5"/>
      <c r="F120" s="5"/>
      <c r="H120" s="5"/>
      <c r="J120" s="5"/>
      <c r="L120" s="5"/>
    </row>
    <row r="121" spans="2:12" ht="18" customHeight="1">
      <c r="B121" s="5"/>
      <c r="D121" s="5"/>
      <c r="F121" s="5"/>
      <c r="H121" s="5"/>
      <c r="J121" s="5"/>
      <c r="L121" s="5"/>
    </row>
    <row r="122" spans="2:12" ht="18" customHeight="1">
      <c r="B122" s="5"/>
      <c r="D122" s="5"/>
      <c r="F122" s="5"/>
      <c r="H122" s="5"/>
      <c r="J122" s="5"/>
      <c r="L122" s="5"/>
    </row>
    <row r="123" spans="2:12" ht="18" customHeight="1">
      <c r="B123" s="5"/>
      <c r="D123" s="5"/>
      <c r="F123" s="5"/>
      <c r="H123" s="5"/>
      <c r="J123" s="5"/>
      <c r="L123" s="5"/>
    </row>
    <row r="124" spans="2:12" ht="18" customHeight="1">
      <c r="B124" s="5"/>
      <c r="D124" s="5"/>
      <c r="F124" s="5"/>
      <c r="H124" s="5"/>
      <c r="J124" s="5"/>
      <c r="L124" s="5"/>
    </row>
    <row r="125" spans="2:12" ht="18" customHeight="1">
      <c r="B125" s="5"/>
      <c r="D125" s="5"/>
      <c r="F125" s="5"/>
      <c r="H125" s="5"/>
      <c r="J125" s="5"/>
      <c r="L125" s="5"/>
    </row>
    <row r="126" spans="2:12" ht="18" customHeight="1">
      <c r="B126" s="5"/>
      <c r="D126" s="5"/>
      <c r="F126" s="5"/>
      <c r="H126" s="5"/>
      <c r="J126" s="5"/>
      <c r="L126" s="5"/>
    </row>
    <row r="127" spans="2:12" ht="18" customHeight="1">
      <c r="B127" s="5"/>
      <c r="D127" s="5"/>
      <c r="F127" s="5"/>
      <c r="H127" s="5"/>
      <c r="J127" s="5"/>
      <c r="L127" s="5"/>
    </row>
    <row r="128" spans="2:12" ht="18" customHeight="1">
      <c r="B128" s="5"/>
      <c r="D128" s="5"/>
      <c r="F128" s="5"/>
      <c r="H128" s="5"/>
      <c r="J128" s="5"/>
      <c r="L128" s="5"/>
    </row>
    <row r="129" spans="2:12" ht="18" customHeight="1">
      <c r="B129" s="5"/>
      <c r="D129" s="5"/>
      <c r="F129" s="5"/>
      <c r="H129" s="5"/>
      <c r="J129" s="5"/>
      <c r="L129" s="5"/>
    </row>
    <row r="130" spans="2:12" ht="18" customHeight="1">
      <c r="B130" s="5"/>
      <c r="D130" s="5"/>
      <c r="F130" s="5"/>
      <c r="H130" s="5"/>
      <c r="J130" s="5"/>
      <c r="L130" s="5"/>
    </row>
    <row r="131" spans="2:12" ht="18" customHeight="1">
      <c r="B131" s="5"/>
      <c r="D131" s="5"/>
      <c r="F131" s="5"/>
      <c r="H131" s="5"/>
      <c r="J131" s="5"/>
      <c r="L131" s="5"/>
    </row>
    <row r="132" spans="2:12" ht="18" customHeight="1">
      <c r="B132" s="5"/>
      <c r="D132" s="5"/>
      <c r="F132" s="5"/>
      <c r="H132" s="5"/>
      <c r="J132" s="5"/>
      <c r="L132" s="5"/>
    </row>
    <row r="133" spans="2:12" ht="18" customHeight="1">
      <c r="B133" s="5"/>
      <c r="D133" s="5"/>
      <c r="F133" s="5"/>
      <c r="H133" s="5"/>
      <c r="J133" s="5"/>
      <c r="L133" s="5"/>
    </row>
    <row r="134" spans="2:12" ht="18" customHeight="1">
      <c r="B134" s="5"/>
      <c r="D134" s="5"/>
      <c r="F134" s="5"/>
      <c r="H134" s="5"/>
      <c r="J134" s="5"/>
      <c r="L134" s="5"/>
    </row>
    <row r="135" spans="2:12" ht="18" customHeight="1">
      <c r="B135" s="5"/>
      <c r="D135" s="5"/>
      <c r="F135" s="5"/>
      <c r="H135" s="5"/>
      <c r="J135" s="5"/>
      <c r="L135" s="5"/>
    </row>
    <row r="136" spans="2:12" ht="18" customHeight="1">
      <c r="B136" s="5"/>
      <c r="D136" s="5"/>
      <c r="F136" s="5"/>
      <c r="H136" s="5"/>
      <c r="J136" s="5"/>
      <c r="L136" s="5"/>
    </row>
    <row r="137" spans="2:12" ht="18" customHeight="1">
      <c r="B137" s="5"/>
      <c r="D137" s="5"/>
      <c r="F137" s="5"/>
      <c r="H137" s="5"/>
      <c r="J137" s="5"/>
      <c r="L137" s="5"/>
    </row>
    <row r="138" spans="2:12" ht="18" customHeight="1">
      <c r="B138" s="5"/>
      <c r="D138" s="5"/>
      <c r="F138" s="5"/>
      <c r="H138" s="5"/>
      <c r="J138" s="5"/>
      <c r="L138" s="5"/>
    </row>
    <row r="139" spans="2:12" ht="18" customHeight="1">
      <c r="B139" s="5"/>
      <c r="D139" s="5"/>
      <c r="F139" s="5"/>
      <c r="H139" s="5"/>
      <c r="J139" s="5"/>
      <c r="L139" s="5"/>
    </row>
    <row r="140" spans="2:12" ht="18" customHeight="1">
      <c r="B140" s="5"/>
      <c r="D140" s="5"/>
      <c r="F140" s="5"/>
      <c r="H140" s="5"/>
      <c r="J140" s="5"/>
      <c r="L140" s="5"/>
    </row>
    <row r="141" spans="2:12" ht="18" customHeight="1">
      <c r="B141" s="5"/>
      <c r="D141" s="5"/>
      <c r="F141" s="5"/>
      <c r="H141" s="5"/>
      <c r="J141" s="5"/>
      <c r="L141" s="5"/>
    </row>
    <row r="142" spans="2:12" ht="18" customHeight="1">
      <c r="B142" s="5"/>
      <c r="D142" s="5"/>
      <c r="F142" s="5"/>
      <c r="H142" s="5"/>
      <c r="J142" s="5"/>
      <c r="L142" s="5"/>
    </row>
    <row r="143" spans="2:12" ht="18" customHeight="1">
      <c r="B143" s="5"/>
      <c r="D143" s="5"/>
      <c r="F143" s="5"/>
      <c r="H143" s="5"/>
      <c r="J143" s="5"/>
      <c r="L143" s="5"/>
    </row>
    <row r="144" spans="2:12" ht="18" customHeight="1">
      <c r="B144" s="5"/>
      <c r="D144" s="5"/>
      <c r="F144" s="5"/>
      <c r="H144" s="5"/>
      <c r="J144" s="5"/>
      <c r="L144" s="5"/>
    </row>
    <row r="145" spans="2:12" ht="18" customHeight="1">
      <c r="B145" s="5"/>
      <c r="D145" s="5"/>
      <c r="F145" s="5"/>
      <c r="H145" s="5"/>
      <c r="J145" s="5"/>
      <c r="L145" s="5"/>
    </row>
    <row r="146" spans="2:12" ht="18" customHeight="1">
      <c r="B146" s="5"/>
      <c r="D146" s="5"/>
      <c r="F146" s="5"/>
      <c r="H146" s="5"/>
      <c r="J146" s="5"/>
      <c r="L146" s="5"/>
    </row>
    <row r="147" spans="2:12" ht="18" customHeight="1">
      <c r="B147" s="5"/>
      <c r="D147" s="5"/>
      <c r="F147" s="5"/>
      <c r="H147" s="5"/>
      <c r="J147" s="5"/>
      <c r="L147" s="5"/>
    </row>
    <row r="148" spans="2:12" ht="18" customHeight="1">
      <c r="B148" s="5"/>
      <c r="D148" s="5"/>
      <c r="F148" s="5"/>
      <c r="H148" s="5"/>
      <c r="J148" s="5"/>
      <c r="L148" s="5"/>
    </row>
    <row r="149" spans="2:12" ht="18" customHeight="1">
      <c r="B149" s="5"/>
      <c r="D149" s="5"/>
      <c r="F149" s="5"/>
      <c r="H149" s="5"/>
      <c r="J149" s="5"/>
      <c r="L149" s="5"/>
    </row>
    <row r="150" spans="2:12" ht="18" customHeight="1">
      <c r="B150" s="5"/>
      <c r="D150" s="5"/>
      <c r="F150" s="5"/>
      <c r="H150" s="5"/>
      <c r="J150" s="5"/>
      <c r="L150" s="5"/>
    </row>
    <row r="151" spans="2:12" ht="18" customHeight="1">
      <c r="B151" s="5"/>
      <c r="D151" s="5"/>
      <c r="F151" s="5"/>
      <c r="H151" s="5"/>
      <c r="J151" s="5"/>
      <c r="L151" s="5"/>
    </row>
    <row r="152" spans="2:12" ht="18" customHeight="1">
      <c r="B152" s="5"/>
      <c r="D152" s="5"/>
      <c r="F152" s="5"/>
      <c r="H152" s="5"/>
      <c r="J152" s="5"/>
      <c r="L152" s="5"/>
    </row>
    <row r="153" spans="2:12" ht="18" customHeight="1">
      <c r="B153" s="5"/>
      <c r="D153" s="5"/>
      <c r="F153" s="5"/>
      <c r="H153" s="5"/>
      <c r="J153" s="5"/>
      <c r="L153" s="5"/>
    </row>
    <row r="154" spans="2:12" ht="18" customHeight="1">
      <c r="B154" s="5"/>
      <c r="D154" s="5"/>
      <c r="F154" s="5"/>
      <c r="H154" s="5"/>
      <c r="J154" s="5"/>
      <c r="L154" s="5"/>
    </row>
    <row r="155" spans="2:12" ht="18" customHeight="1">
      <c r="B155" s="5"/>
      <c r="D155" s="5"/>
      <c r="F155" s="5"/>
      <c r="H155" s="5"/>
      <c r="J155" s="5"/>
      <c r="L155" s="5"/>
    </row>
    <row r="156" spans="2:12" ht="18" customHeight="1">
      <c r="B156" s="5"/>
      <c r="D156" s="5"/>
      <c r="F156" s="5"/>
      <c r="H156" s="5"/>
      <c r="J156" s="5"/>
      <c r="L156" s="5"/>
    </row>
    <row r="157" spans="2:12" ht="18" customHeight="1">
      <c r="B157" s="5"/>
      <c r="D157" s="5"/>
      <c r="F157" s="5"/>
      <c r="H157" s="5"/>
      <c r="J157" s="5"/>
      <c r="L157" s="5"/>
    </row>
    <row r="158" spans="2:12" ht="18" customHeight="1">
      <c r="B158" s="5"/>
      <c r="D158" s="5"/>
      <c r="F158" s="5"/>
      <c r="H158" s="5"/>
      <c r="J158" s="5"/>
      <c r="L158" s="5"/>
    </row>
    <row r="159" spans="2:12" ht="18" customHeight="1">
      <c r="B159" s="5"/>
      <c r="D159" s="5"/>
      <c r="F159" s="5"/>
      <c r="H159" s="5"/>
      <c r="J159" s="5"/>
      <c r="L159" s="5"/>
    </row>
    <row r="160" spans="2:12" ht="18" customHeight="1">
      <c r="B160" s="5"/>
      <c r="D160" s="5"/>
      <c r="F160" s="5"/>
      <c r="H160" s="5"/>
      <c r="J160" s="5"/>
      <c r="L160" s="5"/>
    </row>
    <row r="161" spans="2:12" ht="18" customHeight="1">
      <c r="B161" s="5"/>
      <c r="D161" s="5"/>
      <c r="F161" s="5"/>
      <c r="H161" s="5"/>
      <c r="J161" s="5"/>
      <c r="L161" s="5"/>
    </row>
    <row r="162" spans="2:12" ht="18" customHeight="1">
      <c r="B162" s="5"/>
      <c r="D162" s="5"/>
      <c r="F162" s="5"/>
      <c r="H162" s="5"/>
      <c r="J162" s="5"/>
      <c r="L162" s="5"/>
    </row>
    <row r="163" spans="2:12" ht="18" customHeight="1">
      <c r="B163" s="5"/>
      <c r="D163" s="5"/>
      <c r="F163" s="5"/>
      <c r="H163" s="5"/>
      <c r="J163" s="5"/>
      <c r="L163" s="5"/>
    </row>
    <row r="164" spans="2:12" ht="18" customHeight="1">
      <c r="B164" s="5"/>
      <c r="D164" s="5"/>
      <c r="F164" s="5"/>
      <c r="H164" s="5"/>
      <c r="J164" s="5"/>
      <c r="L164" s="5"/>
    </row>
    <row r="165" spans="2:12" ht="18" customHeight="1">
      <c r="B165" s="5"/>
      <c r="D165" s="5"/>
      <c r="F165" s="5"/>
      <c r="H165" s="5"/>
      <c r="J165" s="5"/>
      <c r="L165" s="5"/>
    </row>
    <row r="166" spans="2:12" ht="18" customHeight="1">
      <c r="B166" s="5"/>
      <c r="D166" s="5"/>
      <c r="F166" s="5"/>
      <c r="H166" s="5"/>
      <c r="J166" s="5"/>
      <c r="L166" s="5"/>
    </row>
    <row r="167" spans="2:12" ht="18" customHeight="1">
      <c r="B167" s="5"/>
      <c r="D167" s="5"/>
      <c r="F167" s="5"/>
      <c r="H167" s="5"/>
      <c r="J167" s="5"/>
      <c r="L167" s="5"/>
    </row>
    <row r="168" spans="2:12" ht="18" customHeight="1">
      <c r="B168" s="5"/>
      <c r="D168" s="5"/>
      <c r="F168" s="5"/>
      <c r="H168" s="5"/>
      <c r="J168" s="5"/>
      <c r="L168" s="5"/>
    </row>
    <row r="169" spans="2:12" ht="18" customHeight="1">
      <c r="B169" s="5"/>
      <c r="D169" s="5"/>
      <c r="F169" s="5"/>
      <c r="H169" s="5"/>
      <c r="J169" s="5"/>
      <c r="L169" s="5"/>
    </row>
    <row r="170" spans="2:12" ht="18" customHeight="1">
      <c r="B170" s="5"/>
      <c r="D170" s="5"/>
      <c r="F170" s="5"/>
      <c r="H170" s="5"/>
      <c r="J170" s="5"/>
      <c r="L170" s="5"/>
    </row>
    <row r="171" spans="2:12" ht="18" customHeight="1">
      <c r="B171" s="5"/>
      <c r="D171" s="5"/>
      <c r="F171" s="5"/>
      <c r="H171" s="5"/>
      <c r="J171" s="5"/>
      <c r="L171" s="5"/>
    </row>
    <row r="172" spans="2:12" ht="18" customHeight="1">
      <c r="B172" s="5"/>
      <c r="D172" s="5"/>
      <c r="F172" s="5"/>
      <c r="H172" s="5"/>
      <c r="J172" s="5"/>
      <c r="L172" s="5"/>
    </row>
    <row r="173" spans="2:12" ht="18" customHeight="1">
      <c r="B173" s="5"/>
      <c r="D173" s="5"/>
      <c r="F173" s="5"/>
      <c r="H173" s="5"/>
      <c r="J173" s="5"/>
      <c r="L173" s="5"/>
    </row>
    <row r="174" spans="2:12" ht="18" customHeight="1">
      <c r="B174" s="5"/>
      <c r="D174" s="5"/>
      <c r="F174" s="5"/>
      <c r="H174" s="5"/>
      <c r="J174" s="5"/>
      <c r="L174" s="5"/>
    </row>
    <row r="175" spans="2:12" ht="18" customHeight="1">
      <c r="B175" s="5"/>
      <c r="D175" s="5"/>
      <c r="F175" s="5"/>
      <c r="H175" s="5"/>
      <c r="J175" s="5"/>
      <c r="L175" s="5"/>
    </row>
    <row r="176" spans="2:12" ht="18" customHeight="1">
      <c r="B176" s="5"/>
      <c r="D176" s="5"/>
      <c r="F176" s="5"/>
      <c r="H176" s="5"/>
      <c r="J176" s="5"/>
      <c r="L176" s="5"/>
    </row>
    <row r="177" spans="2:12" ht="18" customHeight="1">
      <c r="B177" s="5"/>
      <c r="D177" s="5"/>
      <c r="F177" s="5"/>
      <c r="H177" s="5"/>
      <c r="J177" s="5"/>
      <c r="L177" s="5"/>
    </row>
    <row r="178" spans="2:12" ht="18" customHeight="1">
      <c r="B178" s="5"/>
      <c r="D178" s="5"/>
      <c r="F178" s="5"/>
      <c r="H178" s="5"/>
      <c r="J178" s="5"/>
      <c r="L178" s="5"/>
    </row>
    <row r="179" spans="2:12" ht="18" customHeight="1">
      <c r="B179" s="5"/>
      <c r="D179" s="5"/>
      <c r="F179" s="5"/>
      <c r="H179" s="5"/>
      <c r="J179" s="5"/>
      <c r="L179" s="5"/>
    </row>
    <row r="180" spans="2:12" ht="18" customHeight="1">
      <c r="B180" s="5"/>
      <c r="D180" s="5"/>
      <c r="F180" s="5"/>
      <c r="H180" s="5"/>
      <c r="J180" s="5"/>
      <c r="L180" s="5"/>
    </row>
    <row r="181" spans="2:12" ht="18" customHeight="1">
      <c r="B181" s="5"/>
      <c r="D181" s="5"/>
      <c r="F181" s="5"/>
      <c r="H181" s="5"/>
      <c r="J181" s="5"/>
      <c r="L181" s="5"/>
    </row>
    <row r="182" spans="2:12" ht="18" customHeight="1">
      <c r="B182" s="5"/>
      <c r="D182" s="5"/>
      <c r="F182" s="5"/>
      <c r="H182" s="5"/>
      <c r="J182" s="5"/>
      <c r="L182" s="5"/>
    </row>
    <row r="183" spans="2:12" ht="18" customHeight="1">
      <c r="B183" s="5"/>
      <c r="D183" s="5"/>
      <c r="F183" s="5"/>
      <c r="H183" s="5"/>
      <c r="J183" s="5"/>
      <c r="L183" s="5"/>
    </row>
    <row r="184" spans="2:12" ht="18" customHeight="1">
      <c r="B184" s="5"/>
      <c r="D184" s="5"/>
      <c r="F184" s="5"/>
      <c r="H184" s="5"/>
      <c r="J184" s="5"/>
      <c r="L184" s="5"/>
    </row>
    <row r="185" spans="2:12" ht="18" customHeight="1">
      <c r="B185" s="5"/>
      <c r="D185" s="5"/>
      <c r="F185" s="5"/>
      <c r="H185" s="5"/>
      <c r="J185" s="5"/>
      <c r="L185" s="5"/>
    </row>
    <row r="186" spans="2:12" ht="18" customHeight="1">
      <c r="B186" s="5"/>
      <c r="D186" s="5"/>
      <c r="F186" s="5"/>
      <c r="H186" s="5"/>
      <c r="J186" s="5"/>
      <c r="L186" s="5"/>
    </row>
    <row r="187" spans="2:12" ht="18" customHeight="1">
      <c r="B187" s="5"/>
      <c r="D187" s="5"/>
      <c r="F187" s="5"/>
      <c r="H187" s="5"/>
      <c r="J187" s="5"/>
      <c r="L187" s="5"/>
    </row>
    <row r="188" spans="2:12" ht="18" customHeight="1">
      <c r="B188" s="5"/>
      <c r="D188" s="5"/>
      <c r="F188" s="5"/>
      <c r="H188" s="5"/>
      <c r="J188" s="5"/>
      <c r="L188" s="5"/>
    </row>
    <row r="189" spans="2:12" ht="18" customHeight="1">
      <c r="B189" s="5"/>
      <c r="D189" s="5"/>
      <c r="F189" s="5"/>
      <c r="H189" s="5"/>
      <c r="J189" s="5"/>
      <c r="L189" s="5"/>
    </row>
    <row r="190" spans="2:12" ht="18" customHeight="1">
      <c r="B190" s="5"/>
      <c r="D190" s="5"/>
      <c r="F190" s="5"/>
      <c r="H190" s="5"/>
      <c r="J190" s="5"/>
      <c r="L190" s="5"/>
    </row>
    <row r="191" spans="2:12" ht="18" customHeight="1">
      <c r="B191" s="5"/>
      <c r="D191" s="5"/>
      <c r="F191" s="5"/>
      <c r="H191" s="5"/>
      <c r="J191" s="5"/>
      <c r="L191" s="5"/>
    </row>
    <row r="192" spans="2:12" ht="18" customHeight="1">
      <c r="B192" s="5"/>
      <c r="D192" s="5"/>
      <c r="F192" s="5"/>
      <c r="H192" s="5"/>
      <c r="J192" s="5"/>
      <c r="L192" s="5"/>
    </row>
    <row r="193" spans="2:12" ht="18" customHeight="1">
      <c r="B193" s="5"/>
      <c r="D193" s="5"/>
      <c r="F193" s="5"/>
      <c r="H193" s="5"/>
      <c r="J193" s="5"/>
      <c r="L193" s="5"/>
    </row>
    <row r="194" spans="2:12" ht="18" customHeight="1">
      <c r="B194" s="5"/>
      <c r="D194" s="5"/>
      <c r="F194" s="5"/>
      <c r="H194" s="5"/>
      <c r="J194" s="5"/>
      <c r="L194" s="5"/>
    </row>
    <row r="195" spans="2:12" ht="18" customHeight="1">
      <c r="B195" s="5"/>
      <c r="D195" s="5"/>
      <c r="F195" s="5"/>
      <c r="H195" s="5"/>
      <c r="J195" s="5"/>
      <c r="L195" s="5"/>
    </row>
    <row r="196" spans="2:12" ht="18" customHeight="1">
      <c r="B196" s="5"/>
      <c r="D196" s="5"/>
      <c r="F196" s="5"/>
      <c r="H196" s="5"/>
      <c r="J196" s="5"/>
      <c r="L196" s="5"/>
    </row>
    <row r="197" spans="2:12" ht="18" customHeight="1">
      <c r="B197" s="5"/>
      <c r="D197" s="5"/>
      <c r="F197" s="5"/>
      <c r="H197" s="5"/>
      <c r="J197" s="5"/>
      <c r="L197" s="5"/>
    </row>
    <row r="198" spans="2:12" ht="18" customHeight="1">
      <c r="B198" s="5"/>
      <c r="D198" s="5"/>
      <c r="F198" s="5"/>
      <c r="H198" s="5"/>
      <c r="J198" s="5"/>
      <c r="L198" s="5"/>
    </row>
    <row r="199" spans="2:12" ht="18" customHeight="1">
      <c r="B199" s="5"/>
      <c r="D199" s="5"/>
      <c r="F199" s="5"/>
      <c r="H199" s="5"/>
      <c r="J199" s="5"/>
      <c r="L199" s="5"/>
    </row>
    <row r="200" spans="2:12" ht="18" customHeight="1">
      <c r="B200" s="5"/>
      <c r="D200" s="5"/>
      <c r="F200" s="5"/>
      <c r="H200" s="5"/>
      <c r="J200" s="5"/>
      <c r="L200" s="5"/>
    </row>
    <row r="201" spans="2:12" ht="18" customHeight="1">
      <c r="B201" s="5"/>
      <c r="D201" s="5"/>
      <c r="F201" s="5"/>
      <c r="H201" s="5"/>
      <c r="J201" s="5"/>
      <c r="L201" s="5"/>
    </row>
    <row r="202" spans="2:12" ht="18" customHeight="1">
      <c r="B202" s="5"/>
      <c r="D202" s="5"/>
      <c r="F202" s="5"/>
      <c r="H202" s="5"/>
      <c r="J202" s="5"/>
      <c r="L202" s="5"/>
    </row>
    <row r="203" spans="2:12" ht="18" customHeight="1">
      <c r="B203" s="5"/>
      <c r="D203" s="5"/>
      <c r="F203" s="5"/>
      <c r="H203" s="5"/>
      <c r="J203" s="5"/>
      <c r="L203" s="5"/>
    </row>
    <row r="204" spans="2:12" ht="18" customHeight="1">
      <c r="B204" s="5"/>
      <c r="D204" s="5"/>
      <c r="F204" s="5"/>
      <c r="H204" s="5"/>
      <c r="J204" s="5"/>
      <c r="L204" s="5"/>
    </row>
    <row r="205" spans="2:12" ht="18" customHeight="1">
      <c r="B205" s="5"/>
      <c r="D205" s="5"/>
      <c r="F205" s="5"/>
      <c r="H205" s="5"/>
      <c r="J205" s="5"/>
      <c r="L205" s="5"/>
    </row>
    <row r="206" spans="2:12" ht="18" customHeight="1">
      <c r="B206" s="5"/>
      <c r="D206" s="5"/>
      <c r="F206" s="5"/>
      <c r="H206" s="5"/>
      <c r="J206" s="5"/>
      <c r="L206" s="5"/>
    </row>
    <row r="207" spans="2:12" ht="18" customHeight="1">
      <c r="B207" s="5"/>
      <c r="D207" s="5"/>
      <c r="F207" s="5"/>
      <c r="H207" s="5"/>
      <c r="J207" s="5"/>
      <c r="L207" s="5"/>
    </row>
    <row r="208" spans="2:12" ht="18" customHeight="1">
      <c r="B208" s="5"/>
      <c r="D208" s="5"/>
      <c r="F208" s="5"/>
      <c r="H208" s="5"/>
      <c r="J208" s="5"/>
      <c r="L208" s="5"/>
    </row>
    <row r="209" spans="2:12" ht="18" customHeight="1">
      <c r="B209" s="5"/>
      <c r="D209" s="5"/>
      <c r="F209" s="5"/>
      <c r="H209" s="5"/>
      <c r="J209" s="5"/>
      <c r="L209" s="5"/>
    </row>
    <row r="210" spans="2:12" ht="18" customHeight="1">
      <c r="B210" s="5"/>
      <c r="D210" s="5"/>
      <c r="F210" s="5"/>
      <c r="H210" s="5"/>
      <c r="J210" s="5"/>
      <c r="L210" s="5"/>
    </row>
    <row r="211" spans="2:12" ht="18" customHeight="1">
      <c r="B211" s="5"/>
      <c r="D211" s="5"/>
      <c r="F211" s="5"/>
      <c r="H211" s="5"/>
      <c r="J211" s="5"/>
      <c r="L211" s="5"/>
    </row>
    <row r="212" spans="2:12" ht="18" customHeight="1">
      <c r="B212" s="5"/>
      <c r="D212" s="5"/>
      <c r="F212" s="5"/>
      <c r="H212" s="5"/>
      <c r="J212" s="5"/>
      <c r="L212" s="5"/>
    </row>
    <row r="213" spans="2:12" ht="18" customHeight="1">
      <c r="B213" s="5"/>
      <c r="D213" s="5"/>
      <c r="F213" s="5"/>
      <c r="H213" s="5"/>
      <c r="J213" s="5"/>
      <c r="L213" s="5"/>
    </row>
    <row r="214" spans="2:12" ht="18" customHeight="1">
      <c r="B214" s="5"/>
      <c r="D214" s="5"/>
      <c r="F214" s="5"/>
      <c r="H214" s="5"/>
      <c r="J214" s="5"/>
      <c r="L214" s="5"/>
    </row>
    <row r="215" spans="2:12" ht="18" customHeight="1">
      <c r="B215" s="5"/>
      <c r="D215" s="5"/>
      <c r="F215" s="5"/>
      <c r="H215" s="5"/>
      <c r="J215" s="5"/>
      <c r="L215" s="5"/>
    </row>
    <row r="216" spans="2:12" ht="18" customHeight="1">
      <c r="B216" s="5"/>
      <c r="D216" s="5"/>
      <c r="F216" s="5"/>
      <c r="H216" s="5"/>
      <c r="J216" s="5"/>
      <c r="L216" s="5"/>
    </row>
    <row r="217" spans="2:12" ht="18" customHeight="1">
      <c r="B217" s="5"/>
      <c r="D217" s="5"/>
      <c r="F217" s="5"/>
      <c r="H217" s="5"/>
      <c r="J217" s="5"/>
      <c r="L217" s="5"/>
    </row>
    <row r="218" spans="2:12" ht="18" customHeight="1">
      <c r="B218" s="5"/>
      <c r="D218" s="5"/>
      <c r="F218" s="5"/>
      <c r="H218" s="5"/>
      <c r="J218" s="5"/>
      <c r="L218" s="5"/>
    </row>
    <row r="219" spans="2:12" ht="18" customHeight="1">
      <c r="B219" s="5"/>
      <c r="D219" s="5"/>
      <c r="F219" s="5"/>
      <c r="H219" s="5"/>
      <c r="J219" s="5"/>
      <c r="L219" s="5"/>
    </row>
    <row r="220" spans="2:12" ht="18" customHeight="1">
      <c r="B220" s="5"/>
      <c r="D220" s="5"/>
      <c r="F220" s="5"/>
      <c r="H220" s="5"/>
      <c r="J220" s="5"/>
      <c r="L220" s="5"/>
    </row>
    <row r="221" spans="2:12" ht="18" customHeight="1">
      <c r="B221" s="5"/>
      <c r="D221" s="5"/>
      <c r="F221" s="5"/>
      <c r="H221" s="5"/>
      <c r="J221" s="5"/>
      <c r="L221" s="5"/>
    </row>
    <row r="222" spans="2:12" ht="18" customHeight="1">
      <c r="B222" s="5"/>
      <c r="D222" s="5"/>
      <c r="F222" s="5"/>
      <c r="H222" s="5"/>
      <c r="J222" s="5"/>
      <c r="L222" s="5"/>
    </row>
    <row r="223" spans="2:12" ht="18" customHeight="1">
      <c r="B223" s="5"/>
      <c r="D223" s="5"/>
      <c r="F223" s="5"/>
      <c r="H223" s="5"/>
      <c r="J223" s="5"/>
      <c r="L223" s="5"/>
    </row>
    <row r="224" spans="2:12" ht="18" customHeight="1">
      <c r="B224" s="5"/>
      <c r="D224" s="5"/>
      <c r="F224" s="5"/>
      <c r="H224" s="5"/>
      <c r="J224" s="5"/>
      <c r="L224" s="5"/>
    </row>
    <row r="225" spans="2:12" ht="18" customHeight="1">
      <c r="B225" s="5"/>
      <c r="D225" s="5"/>
      <c r="F225" s="5"/>
      <c r="H225" s="5"/>
      <c r="J225" s="5"/>
      <c r="L225" s="5"/>
    </row>
    <row r="226" spans="2:12" ht="18" customHeight="1">
      <c r="B226" s="5"/>
      <c r="D226" s="5"/>
      <c r="F226" s="5"/>
      <c r="H226" s="5"/>
      <c r="J226" s="5"/>
      <c r="L226" s="5"/>
    </row>
    <row r="227" spans="2:12" ht="18" customHeight="1">
      <c r="B227" s="5"/>
      <c r="D227" s="5"/>
      <c r="F227" s="5"/>
      <c r="H227" s="5"/>
      <c r="J227" s="5"/>
      <c r="L227" s="5"/>
    </row>
    <row r="228" spans="2:12" ht="18" customHeight="1">
      <c r="B228" s="5"/>
      <c r="D228" s="5"/>
      <c r="F228" s="5"/>
      <c r="H228" s="5"/>
      <c r="J228" s="5"/>
      <c r="L228" s="5"/>
    </row>
    <row r="229" spans="2:12" ht="18" customHeight="1">
      <c r="B229" s="5"/>
      <c r="D229" s="5"/>
      <c r="F229" s="5"/>
      <c r="H229" s="5"/>
      <c r="J229" s="5"/>
      <c r="L229" s="5"/>
    </row>
    <row r="230" spans="2:12" ht="18" customHeight="1">
      <c r="B230" s="5"/>
      <c r="D230" s="5"/>
      <c r="F230" s="5"/>
      <c r="H230" s="5"/>
      <c r="J230" s="5"/>
      <c r="L230" s="5"/>
    </row>
    <row r="231" spans="2:12" ht="18" customHeight="1">
      <c r="B231" s="5"/>
      <c r="D231" s="5"/>
      <c r="F231" s="5"/>
      <c r="H231" s="5"/>
      <c r="J231" s="5"/>
      <c r="L231" s="5"/>
    </row>
    <row r="232" spans="2:12" ht="18" customHeight="1">
      <c r="B232" s="5"/>
      <c r="D232" s="5"/>
      <c r="F232" s="5"/>
      <c r="H232" s="5"/>
      <c r="J232" s="5"/>
      <c r="L232" s="5"/>
    </row>
    <row r="233" spans="2:12" ht="18" customHeight="1">
      <c r="B233" s="5"/>
      <c r="D233" s="5"/>
      <c r="F233" s="5"/>
      <c r="H233" s="5"/>
      <c r="J233" s="5"/>
      <c r="L233" s="5"/>
    </row>
    <row r="234" spans="2:12" ht="18" customHeight="1">
      <c r="B234" s="5"/>
      <c r="D234" s="5"/>
      <c r="F234" s="5"/>
      <c r="H234" s="5"/>
      <c r="J234" s="5"/>
      <c r="L234" s="5"/>
    </row>
    <row r="235" spans="2:12" ht="18" customHeight="1">
      <c r="B235" s="5"/>
      <c r="D235" s="5"/>
      <c r="F235" s="5"/>
      <c r="H235" s="5"/>
      <c r="J235" s="5"/>
      <c r="L235" s="5"/>
    </row>
    <row r="236" spans="2:12" ht="18" customHeight="1">
      <c r="B236" s="5"/>
      <c r="D236" s="5"/>
      <c r="F236" s="5"/>
      <c r="H236" s="5"/>
      <c r="J236" s="5"/>
      <c r="L236" s="5"/>
    </row>
    <row r="237" spans="2:12" ht="18" customHeight="1">
      <c r="B237" s="5"/>
      <c r="D237" s="5"/>
      <c r="F237" s="5"/>
      <c r="H237" s="5"/>
      <c r="J237" s="5"/>
      <c r="L237" s="5"/>
    </row>
    <row r="238" spans="2:12" ht="18" customHeight="1">
      <c r="B238" s="5"/>
      <c r="D238" s="5"/>
      <c r="F238" s="5"/>
      <c r="H238" s="5"/>
      <c r="J238" s="5"/>
      <c r="L238" s="5"/>
    </row>
    <row r="239" spans="2:12" ht="18" customHeight="1">
      <c r="B239" s="5"/>
      <c r="D239" s="5"/>
      <c r="F239" s="5"/>
      <c r="H239" s="5"/>
      <c r="J239" s="5"/>
      <c r="L239" s="5"/>
    </row>
    <row r="240" spans="2:12" ht="18" customHeight="1">
      <c r="B240" s="5"/>
      <c r="D240" s="5"/>
      <c r="F240" s="5"/>
      <c r="H240" s="5"/>
      <c r="J240" s="5"/>
      <c r="L240" s="5"/>
    </row>
    <row r="241" spans="2:12" ht="18" customHeight="1">
      <c r="B241" s="5"/>
      <c r="D241" s="5"/>
      <c r="F241" s="5"/>
      <c r="H241" s="5"/>
      <c r="J241" s="5"/>
      <c r="L241" s="5"/>
    </row>
    <row r="242" spans="2:12" ht="18" customHeight="1">
      <c r="B242" s="5"/>
      <c r="D242" s="5"/>
      <c r="F242" s="5"/>
      <c r="H242" s="5"/>
      <c r="J242" s="5"/>
      <c r="L242" s="5"/>
    </row>
    <row r="243" spans="2:12" ht="18" customHeight="1">
      <c r="B243" s="5"/>
      <c r="D243" s="5"/>
      <c r="F243" s="5"/>
      <c r="H243" s="5"/>
      <c r="J243" s="5"/>
      <c r="L243" s="5"/>
    </row>
    <row r="244" spans="2:12" ht="18" customHeight="1">
      <c r="B244" s="5"/>
      <c r="D244" s="5"/>
      <c r="F244" s="5"/>
      <c r="H244" s="5"/>
      <c r="J244" s="5"/>
      <c r="L244" s="5"/>
    </row>
    <row r="245" spans="2:12" ht="18" customHeight="1">
      <c r="B245" s="5"/>
      <c r="D245" s="5"/>
      <c r="F245" s="5"/>
      <c r="H245" s="5"/>
      <c r="J245" s="5"/>
      <c r="L245" s="5"/>
    </row>
    <row r="246" spans="2:12" ht="18" customHeight="1">
      <c r="B246" s="5"/>
      <c r="D246" s="5"/>
      <c r="F246" s="5"/>
      <c r="H246" s="5"/>
      <c r="J246" s="5"/>
      <c r="L246" s="5"/>
    </row>
    <row r="247" spans="2:12" ht="18" customHeight="1">
      <c r="B247" s="5"/>
      <c r="D247" s="5"/>
      <c r="F247" s="5"/>
      <c r="H247" s="5"/>
      <c r="J247" s="5"/>
      <c r="L247" s="5"/>
    </row>
    <row r="248" spans="2:12" ht="18" customHeight="1">
      <c r="B248" s="5"/>
      <c r="D248" s="5"/>
      <c r="F248" s="5"/>
      <c r="H248" s="5"/>
      <c r="J248" s="5"/>
      <c r="L248" s="5"/>
    </row>
    <row r="249" spans="2:12" ht="18" customHeight="1">
      <c r="B249" s="5"/>
      <c r="D249" s="5"/>
      <c r="F249" s="5"/>
      <c r="H249" s="5"/>
      <c r="J249" s="5"/>
      <c r="L249" s="5"/>
    </row>
    <row r="250" spans="2:12" ht="18" customHeight="1">
      <c r="B250" s="5"/>
      <c r="D250" s="5"/>
      <c r="F250" s="5"/>
      <c r="H250" s="5"/>
      <c r="J250" s="5"/>
      <c r="L250" s="5"/>
    </row>
    <row r="251" spans="2:12" ht="18" customHeight="1">
      <c r="B251" s="5"/>
      <c r="D251" s="5"/>
      <c r="F251" s="5"/>
      <c r="H251" s="5"/>
      <c r="J251" s="5"/>
      <c r="L251" s="5"/>
    </row>
    <row r="252" spans="2:12" ht="18" customHeight="1">
      <c r="B252" s="5"/>
      <c r="D252" s="5"/>
      <c r="F252" s="5"/>
      <c r="H252" s="5"/>
      <c r="J252" s="5"/>
      <c r="L252" s="5"/>
    </row>
    <row r="253" spans="2:12" ht="18" customHeight="1">
      <c r="B253" s="5"/>
      <c r="D253" s="5"/>
      <c r="F253" s="5"/>
      <c r="H253" s="5"/>
      <c r="J253" s="5"/>
      <c r="L253" s="5"/>
    </row>
    <row r="254" spans="2:12" ht="18" customHeight="1">
      <c r="B254" s="5"/>
      <c r="D254" s="5"/>
      <c r="F254" s="5"/>
      <c r="H254" s="5"/>
      <c r="J254" s="5"/>
      <c r="L254" s="5"/>
    </row>
    <row r="255" spans="2:12" ht="18" customHeight="1">
      <c r="B255" s="5"/>
      <c r="D255" s="5"/>
      <c r="F255" s="5"/>
      <c r="H255" s="5"/>
      <c r="J255" s="5"/>
      <c r="L255" s="5"/>
    </row>
    <row r="256" spans="2:12" ht="18" customHeight="1">
      <c r="B256" s="5"/>
      <c r="D256" s="5"/>
      <c r="F256" s="5"/>
      <c r="H256" s="5"/>
      <c r="J256" s="5"/>
      <c r="L256" s="5"/>
    </row>
    <row r="257" spans="2:12" ht="18" customHeight="1">
      <c r="B257" s="5"/>
      <c r="D257" s="5"/>
      <c r="F257" s="5"/>
      <c r="H257" s="5"/>
      <c r="J257" s="5"/>
      <c r="L257" s="5"/>
    </row>
    <row r="258" spans="2:12" ht="18" customHeight="1">
      <c r="B258" s="5"/>
      <c r="D258" s="5"/>
      <c r="F258" s="5"/>
      <c r="H258" s="5"/>
      <c r="J258" s="5"/>
      <c r="L258" s="5"/>
    </row>
    <row r="259" spans="2:12" ht="18" customHeight="1">
      <c r="B259" s="5"/>
      <c r="D259" s="5"/>
      <c r="F259" s="5"/>
      <c r="H259" s="5"/>
      <c r="J259" s="5"/>
      <c r="L259" s="5"/>
    </row>
    <row r="260" spans="2:12" ht="18" customHeight="1">
      <c r="B260" s="5"/>
      <c r="D260" s="5"/>
      <c r="F260" s="5"/>
      <c r="H260" s="5"/>
      <c r="J260" s="5"/>
      <c r="L260" s="5"/>
    </row>
    <row r="261" spans="2:12" ht="18" customHeight="1">
      <c r="B261" s="5"/>
      <c r="D261" s="5"/>
      <c r="F261" s="5"/>
      <c r="H261" s="5"/>
      <c r="J261" s="5"/>
      <c r="L261" s="5"/>
    </row>
    <row r="262" spans="2:12" ht="18" customHeight="1">
      <c r="B262" s="5"/>
      <c r="D262" s="5"/>
      <c r="F262" s="5"/>
      <c r="H262" s="5"/>
      <c r="J262" s="5"/>
      <c r="L262" s="5"/>
    </row>
    <row r="263" spans="2:12" ht="18" customHeight="1">
      <c r="B263" s="5"/>
      <c r="D263" s="5"/>
      <c r="F263" s="5"/>
      <c r="H263" s="5"/>
      <c r="J263" s="5"/>
      <c r="L263" s="5"/>
    </row>
    <row r="264" spans="2:12" ht="18" customHeight="1">
      <c r="B264" s="5"/>
      <c r="D264" s="5"/>
      <c r="F264" s="5"/>
      <c r="H264" s="5"/>
      <c r="J264" s="5"/>
      <c r="L264" s="5"/>
    </row>
    <row r="265" spans="2:12" ht="18" customHeight="1">
      <c r="B265" s="5"/>
      <c r="D265" s="5"/>
      <c r="F265" s="5"/>
      <c r="H265" s="5"/>
      <c r="J265" s="5"/>
      <c r="L265" s="5"/>
    </row>
    <row r="266" spans="2:12" ht="18" customHeight="1">
      <c r="B266" s="5"/>
      <c r="D266" s="5"/>
      <c r="F266" s="5"/>
      <c r="H266" s="5"/>
      <c r="J266" s="5"/>
      <c r="L266" s="5"/>
    </row>
    <row r="267" spans="2:12" ht="18" customHeight="1">
      <c r="B267" s="5"/>
      <c r="D267" s="5"/>
      <c r="F267" s="5"/>
      <c r="H267" s="5"/>
      <c r="J267" s="5"/>
      <c r="L267" s="5"/>
    </row>
    <row r="268" spans="2:12" ht="18" customHeight="1">
      <c r="B268" s="5"/>
      <c r="D268" s="5"/>
      <c r="F268" s="5"/>
      <c r="H268" s="5"/>
      <c r="J268" s="5"/>
      <c r="L268" s="5"/>
    </row>
    <row r="269" spans="2:12" ht="18" customHeight="1">
      <c r="B269" s="5"/>
      <c r="D269" s="5"/>
      <c r="F269" s="5"/>
      <c r="H269" s="5"/>
      <c r="J269" s="5"/>
      <c r="L269" s="5"/>
    </row>
    <row r="270" spans="2:12" ht="18" customHeight="1">
      <c r="B270" s="5"/>
      <c r="D270" s="5"/>
      <c r="F270" s="5"/>
      <c r="H270" s="5"/>
      <c r="J270" s="5"/>
      <c r="L270" s="5"/>
    </row>
    <row r="271" spans="2:12" ht="18" customHeight="1">
      <c r="B271" s="5"/>
      <c r="D271" s="5"/>
      <c r="F271" s="5"/>
      <c r="H271" s="5"/>
      <c r="J271" s="5"/>
      <c r="L271" s="5"/>
    </row>
    <row r="272" spans="2:12" ht="18" customHeight="1">
      <c r="B272" s="5"/>
      <c r="D272" s="5"/>
      <c r="F272" s="5"/>
      <c r="H272" s="5"/>
      <c r="J272" s="5"/>
      <c r="L272" s="5"/>
    </row>
    <row r="273" spans="2:12" ht="18" customHeight="1">
      <c r="B273" s="5"/>
      <c r="D273" s="5"/>
      <c r="F273" s="5"/>
      <c r="H273" s="5"/>
      <c r="J273" s="5"/>
      <c r="L273" s="5"/>
    </row>
    <row r="274" spans="2:12" ht="18" customHeight="1">
      <c r="B274" s="5"/>
      <c r="D274" s="5"/>
      <c r="F274" s="5"/>
      <c r="H274" s="5"/>
      <c r="J274" s="5"/>
      <c r="L274" s="5"/>
    </row>
    <row r="275" spans="2:12" ht="18" customHeight="1">
      <c r="B275" s="5"/>
      <c r="D275" s="5"/>
      <c r="F275" s="5"/>
      <c r="H275" s="5"/>
      <c r="J275" s="5"/>
      <c r="L275" s="5"/>
    </row>
    <row r="276" spans="2:12" ht="18" customHeight="1">
      <c r="B276" s="5"/>
      <c r="D276" s="5"/>
      <c r="F276" s="5"/>
      <c r="H276" s="5"/>
      <c r="J276" s="5"/>
      <c r="L276" s="5"/>
    </row>
    <row r="277" spans="2:12" ht="18" customHeight="1">
      <c r="B277" s="5"/>
      <c r="D277" s="5"/>
      <c r="F277" s="5"/>
      <c r="H277" s="5"/>
      <c r="J277" s="5"/>
      <c r="L277" s="5"/>
    </row>
    <row r="278" spans="2:12" ht="18" customHeight="1">
      <c r="B278" s="5"/>
      <c r="D278" s="5"/>
      <c r="F278" s="5"/>
      <c r="H278" s="5"/>
      <c r="J278" s="5"/>
      <c r="L278" s="5"/>
    </row>
    <row r="279" spans="2:12" ht="18" customHeight="1">
      <c r="B279" s="5"/>
      <c r="D279" s="5"/>
      <c r="F279" s="5"/>
      <c r="H279" s="5"/>
      <c r="J279" s="5"/>
      <c r="L279" s="5"/>
    </row>
    <row r="280" spans="2:12" ht="18" customHeight="1">
      <c r="B280" s="5"/>
      <c r="D280" s="5"/>
      <c r="F280" s="5"/>
      <c r="H280" s="5"/>
      <c r="J280" s="5"/>
      <c r="L280" s="5"/>
    </row>
    <row r="281" spans="2:12" ht="18" customHeight="1">
      <c r="B281" s="5"/>
      <c r="D281" s="5"/>
      <c r="F281" s="5"/>
      <c r="H281" s="5"/>
      <c r="J281" s="5"/>
      <c r="L281" s="5"/>
    </row>
    <row r="282" spans="2:12" ht="18" customHeight="1">
      <c r="B282" s="5"/>
      <c r="D282" s="5"/>
      <c r="F282" s="5"/>
      <c r="H282" s="5"/>
      <c r="J282" s="5"/>
      <c r="L282" s="5"/>
    </row>
    <row r="283" spans="2:12" ht="18" customHeight="1">
      <c r="B283" s="5"/>
      <c r="D283" s="5"/>
      <c r="F283" s="5"/>
      <c r="H283" s="5"/>
      <c r="J283" s="5"/>
      <c r="L283" s="5"/>
    </row>
    <row r="284" spans="2:12" ht="18" customHeight="1">
      <c r="B284" s="5"/>
      <c r="D284" s="5"/>
      <c r="F284" s="5"/>
      <c r="H284" s="5"/>
      <c r="J284" s="5"/>
      <c r="L284" s="5"/>
    </row>
    <row r="285" spans="2:12" ht="18" customHeight="1">
      <c r="B285" s="5"/>
      <c r="D285" s="5"/>
      <c r="F285" s="5"/>
      <c r="H285" s="5"/>
      <c r="J285" s="5"/>
      <c r="L285" s="5"/>
    </row>
    <row r="286" spans="2:12" ht="18" customHeight="1">
      <c r="B286" s="5"/>
      <c r="D286" s="5"/>
      <c r="F286" s="5"/>
      <c r="H286" s="5"/>
      <c r="J286" s="5"/>
      <c r="L286" s="5"/>
    </row>
    <row r="287" spans="2:12" ht="18" customHeight="1">
      <c r="B287" s="5"/>
      <c r="D287" s="5"/>
      <c r="F287" s="5"/>
      <c r="H287" s="5"/>
      <c r="J287" s="5"/>
      <c r="L287" s="5"/>
    </row>
    <row r="288" spans="2:12" ht="18" customHeight="1">
      <c r="B288" s="5"/>
      <c r="D288" s="5"/>
      <c r="F288" s="5"/>
      <c r="H288" s="5"/>
      <c r="J288" s="5"/>
      <c r="L288" s="5"/>
    </row>
    <row r="289" spans="2:12" ht="18" customHeight="1">
      <c r="B289" s="5"/>
      <c r="D289" s="5"/>
      <c r="F289" s="5"/>
      <c r="H289" s="5"/>
      <c r="J289" s="5"/>
      <c r="L289" s="5"/>
    </row>
    <row r="290" spans="2:12" ht="18" customHeight="1">
      <c r="B290" s="5"/>
      <c r="D290" s="5"/>
      <c r="F290" s="5"/>
      <c r="H290" s="5"/>
      <c r="J290" s="5"/>
      <c r="L290" s="5"/>
    </row>
    <row r="291" spans="2:12" ht="18" customHeight="1">
      <c r="B291" s="5"/>
      <c r="D291" s="5"/>
      <c r="F291" s="5"/>
      <c r="H291" s="5"/>
      <c r="J291" s="5"/>
      <c r="L291" s="5"/>
    </row>
    <row r="292" spans="2:12" ht="18" customHeight="1">
      <c r="B292" s="5"/>
      <c r="D292" s="5"/>
      <c r="F292" s="5"/>
      <c r="H292" s="5"/>
      <c r="J292" s="5"/>
      <c r="L292" s="5"/>
    </row>
    <row r="293" spans="2:12" ht="18" customHeight="1">
      <c r="B293" s="5"/>
      <c r="D293" s="5"/>
      <c r="F293" s="5"/>
      <c r="H293" s="5"/>
      <c r="J293" s="5"/>
      <c r="L293" s="5"/>
    </row>
    <row r="294" spans="2:12" ht="18" customHeight="1">
      <c r="B294" s="5"/>
      <c r="D294" s="5"/>
      <c r="F294" s="5"/>
      <c r="H294" s="5"/>
      <c r="J294" s="5"/>
      <c r="L294" s="5"/>
    </row>
    <row r="295" spans="2:12" ht="18" customHeight="1">
      <c r="B295" s="5"/>
      <c r="D295" s="5"/>
      <c r="F295" s="5"/>
      <c r="H295" s="5"/>
      <c r="J295" s="5"/>
      <c r="L295" s="5"/>
    </row>
    <row r="296" spans="2:12" ht="18" customHeight="1">
      <c r="B296" s="5"/>
      <c r="D296" s="5"/>
      <c r="F296" s="5"/>
      <c r="H296" s="5"/>
      <c r="J296" s="5"/>
      <c r="L296" s="5"/>
    </row>
    <row r="297" spans="2:12" ht="18" customHeight="1">
      <c r="B297" s="5"/>
      <c r="D297" s="5"/>
      <c r="F297" s="5"/>
      <c r="H297" s="5"/>
      <c r="J297" s="5"/>
      <c r="L297" s="5"/>
    </row>
    <row r="298" spans="2:12" ht="18" customHeight="1">
      <c r="B298" s="5"/>
      <c r="D298" s="5"/>
      <c r="F298" s="5"/>
      <c r="H298" s="5"/>
      <c r="J298" s="5"/>
      <c r="L298" s="5"/>
    </row>
    <row r="299" spans="2:12" ht="18" customHeight="1">
      <c r="B299" s="5"/>
      <c r="D299" s="5"/>
      <c r="F299" s="5"/>
      <c r="H299" s="5"/>
      <c r="J299" s="5"/>
      <c r="L299" s="5"/>
    </row>
    <row r="300" spans="2:12" ht="18" customHeight="1">
      <c r="B300" s="5"/>
      <c r="D300" s="5"/>
      <c r="F300" s="5"/>
      <c r="H300" s="5"/>
      <c r="J300" s="5"/>
      <c r="L300" s="5"/>
    </row>
    <row r="301" spans="2:12" ht="18" customHeight="1">
      <c r="B301" s="5"/>
      <c r="D301" s="5"/>
      <c r="F301" s="5"/>
      <c r="H301" s="5"/>
      <c r="J301" s="5"/>
      <c r="L301" s="5"/>
    </row>
    <row r="302" spans="2:12" ht="18" customHeight="1">
      <c r="B302" s="5"/>
      <c r="D302" s="5"/>
      <c r="F302" s="5"/>
      <c r="H302" s="5"/>
      <c r="J302" s="5"/>
      <c r="L302" s="5"/>
    </row>
    <row r="303" spans="2:12" ht="18" customHeight="1">
      <c r="B303" s="5"/>
      <c r="D303" s="5"/>
      <c r="F303" s="5"/>
      <c r="H303" s="5"/>
      <c r="J303" s="5"/>
      <c r="L303" s="5"/>
    </row>
    <row r="304" spans="2:12" ht="18" customHeight="1">
      <c r="B304" s="5"/>
      <c r="D304" s="5"/>
      <c r="F304" s="5"/>
      <c r="H304" s="5"/>
      <c r="J304" s="5"/>
      <c r="L304" s="5"/>
    </row>
    <row r="305" spans="2:12" ht="18" customHeight="1">
      <c r="B305" s="5"/>
      <c r="D305" s="5"/>
      <c r="F305" s="5"/>
      <c r="H305" s="5"/>
      <c r="J305" s="5"/>
      <c r="L305" s="5"/>
    </row>
    <row r="306" spans="2:12" ht="18" customHeight="1">
      <c r="B306" s="5"/>
      <c r="D306" s="5"/>
      <c r="F306" s="5"/>
      <c r="H306" s="5"/>
      <c r="J306" s="5"/>
      <c r="L306" s="5"/>
    </row>
    <row r="307" spans="2:12" ht="18" customHeight="1">
      <c r="B307" s="5"/>
      <c r="D307" s="5"/>
      <c r="F307" s="5"/>
      <c r="H307" s="5"/>
      <c r="J307" s="5"/>
      <c r="L307" s="5"/>
    </row>
    <row r="308" spans="2:12" ht="18" customHeight="1">
      <c r="B308" s="5"/>
      <c r="D308" s="5"/>
      <c r="F308" s="5"/>
      <c r="H308" s="5"/>
      <c r="J308" s="5"/>
      <c r="L308" s="5"/>
    </row>
    <row r="309" spans="2:12" ht="18" customHeight="1">
      <c r="B309" s="5"/>
      <c r="D309" s="5"/>
      <c r="F309" s="5"/>
      <c r="H309" s="5"/>
      <c r="J309" s="5"/>
      <c r="L309" s="5"/>
    </row>
    <row r="310" spans="2:12" ht="18" customHeight="1">
      <c r="B310" s="5"/>
      <c r="D310" s="5"/>
      <c r="F310" s="5"/>
      <c r="H310" s="5"/>
      <c r="J310" s="5"/>
      <c r="L310" s="5"/>
    </row>
    <row r="311" spans="2:12" ht="18" customHeight="1">
      <c r="B311" s="5"/>
      <c r="D311" s="5"/>
      <c r="F311" s="5"/>
      <c r="H311" s="5"/>
      <c r="J311" s="5"/>
      <c r="L311" s="5"/>
    </row>
    <row r="312" spans="2:12" ht="18" customHeight="1">
      <c r="B312" s="5"/>
      <c r="D312" s="5"/>
      <c r="F312" s="5"/>
      <c r="H312" s="5"/>
      <c r="J312" s="5"/>
      <c r="L312" s="5"/>
    </row>
    <row r="313" spans="2:12" ht="18" customHeight="1">
      <c r="B313" s="5"/>
      <c r="D313" s="5"/>
      <c r="F313" s="5"/>
      <c r="H313" s="5"/>
      <c r="J313" s="5"/>
      <c r="L313" s="5"/>
    </row>
    <row r="314" spans="2:12" ht="18" customHeight="1">
      <c r="B314" s="5"/>
      <c r="D314" s="5"/>
      <c r="F314" s="5"/>
      <c r="H314" s="5"/>
      <c r="J314" s="5"/>
      <c r="L314" s="5"/>
    </row>
    <row r="315" spans="2:12" ht="18" customHeight="1">
      <c r="B315" s="5"/>
      <c r="D315" s="5"/>
      <c r="F315" s="5"/>
      <c r="H315" s="5"/>
      <c r="J315" s="5"/>
      <c r="L315" s="5"/>
    </row>
    <row r="316" spans="2:12" ht="18" customHeight="1">
      <c r="B316" s="5"/>
      <c r="D316" s="5"/>
      <c r="F316" s="5"/>
      <c r="H316" s="5"/>
      <c r="J316" s="5"/>
      <c r="L316" s="5"/>
    </row>
    <row r="317" spans="2:12" ht="18" customHeight="1">
      <c r="B317" s="5"/>
      <c r="D317" s="5"/>
      <c r="F317" s="5"/>
      <c r="H317" s="5"/>
      <c r="J317" s="5"/>
      <c r="L317" s="5"/>
    </row>
    <row r="318" spans="2:12" ht="18" customHeight="1">
      <c r="B318" s="5"/>
      <c r="D318" s="5"/>
      <c r="F318" s="5"/>
      <c r="H318" s="5"/>
      <c r="J318" s="5"/>
      <c r="L318" s="5"/>
    </row>
    <row r="319" spans="2:12" ht="18" customHeight="1">
      <c r="B319" s="5"/>
      <c r="D319" s="5"/>
      <c r="F319" s="5"/>
      <c r="H319" s="5"/>
      <c r="J319" s="5"/>
      <c r="L319" s="5"/>
    </row>
    <row r="320" spans="2:12" ht="18" customHeight="1">
      <c r="B320" s="5"/>
      <c r="D320" s="5"/>
      <c r="F320" s="5"/>
      <c r="H320" s="5"/>
      <c r="J320" s="5"/>
      <c r="L320" s="5"/>
    </row>
    <row r="321" spans="2:12" ht="18" customHeight="1">
      <c r="B321" s="5"/>
      <c r="D321" s="5"/>
      <c r="F321" s="5"/>
      <c r="H321" s="5"/>
      <c r="J321" s="5"/>
      <c r="L321" s="5"/>
    </row>
    <row r="322" spans="2:12" ht="18" customHeight="1">
      <c r="B322" s="5"/>
      <c r="D322" s="5"/>
      <c r="F322" s="5"/>
      <c r="H322" s="5"/>
      <c r="J322" s="5"/>
      <c r="L322" s="5"/>
    </row>
    <row r="323" spans="2:12" ht="18" customHeight="1">
      <c r="B323" s="5"/>
      <c r="D323" s="5"/>
      <c r="F323" s="5"/>
      <c r="H323" s="5"/>
      <c r="J323" s="5"/>
      <c r="L323" s="5"/>
    </row>
    <row r="324" spans="2:12" ht="18" customHeight="1">
      <c r="B324" s="5"/>
      <c r="D324" s="5"/>
      <c r="F324" s="5"/>
      <c r="H324" s="5"/>
      <c r="J324" s="5"/>
      <c r="L324" s="5"/>
    </row>
    <row r="325" spans="2:12" ht="18" customHeight="1">
      <c r="B325" s="5"/>
      <c r="D325" s="5"/>
      <c r="F325" s="5"/>
      <c r="H325" s="5"/>
      <c r="J325" s="5"/>
      <c r="L325" s="5"/>
    </row>
    <row r="326" spans="2:12" ht="18" customHeight="1">
      <c r="B326" s="5"/>
      <c r="D326" s="5"/>
      <c r="F326" s="5"/>
      <c r="H326" s="5"/>
      <c r="J326" s="5"/>
      <c r="L326" s="5"/>
    </row>
    <row r="327" spans="2:12" ht="18" customHeight="1">
      <c r="B327" s="5"/>
      <c r="D327" s="5"/>
      <c r="F327" s="5"/>
      <c r="H327" s="5"/>
      <c r="J327" s="5"/>
      <c r="L327" s="5"/>
    </row>
    <row r="328" spans="2:12" ht="18" customHeight="1">
      <c r="B328" s="5"/>
      <c r="D328" s="5"/>
      <c r="F328" s="5"/>
      <c r="H328" s="5"/>
      <c r="J328" s="5"/>
      <c r="L328" s="5"/>
    </row>
    <row r="329" spans="2:12" ht="18" customHeight="1">
      <c r="B329" s="5"/>
      <c r="D329" s="5"/>
      <c r="F329" s="5"/>
      <c r="H329" s="5"/>
      <c r="J329" s="5"/>
      <c r="L329" s="5"/>
    </row>
    <row r="330" spans="2:12" ht="18" customHeight="1">
      <c r="B330" s="5"/>
      <c r="D330" s="5"/>
      <c r="F330" s="5"/>
      <c r="H330" s="5"/>
      <c r="J330" s="5"/>
      <c r="L330" s="5"/>
    </row>
    <row r="331" spans="2:12" ht="18" customHeight="1">
      <c r="B331" s="5"/>
      <c r="D331" s="5"/>
      <c r="F331" s="5"/>
      <c r="H331" s="5"/>
      <c r="J331" s="5"/>
      <c r="L331" s="5"/>
    </row>
    <row r="332" spans="2:12" ht="18" customHeight="1">
      <c r="B332" s="5"/>
      <c r="D332" s="5"/>
      <c r="F332" s="5"/>
      <c r="H332" s="5"/>
      <c r="J332" s="5"/>
      <c r="L332" s="5"/>
    </row>
    <row r="333" spans="2:12" ht="18" customHeight="1">
      <c r="B333" s="5"/>
      <c r="D333" s="5"/>
      <c r="F333" s="5"/>
      <c r="H333" s="5"/>
      <c r="J333" s="5"/>
      <c r="L333" s="5"/>
    </row>
    <row r="334" spans="2:12" ht="18" customHeight="1">
      <c r="B334" s="5"/>
      <c r="D334" s="5"/>
      <c r="F334" s="5"/>
      <c r="H334" s="5"/>
      <c r="J334" s="5"/>
      <c r="L334" s="5"/>
    </row>
    <row r="335" spans="2:12" ht="18" customHeight="1">
      <c r="B335" s="5"/>
      <c r="D335" s="5"/>
      <c r="F335" s="5"/>
      <c r="H335" s="5"/>
      <c r="J335" s="5"/>
      <c r="L335" s="5"/>
    </row>
    <row r="336" spans="2:12" ht="18" customHeight="1">
      <c r="B336" s="5"/>
      <c r="D336" s="5"/>
      <c r="F336" s="5"/>
      <c r="H336" s="5"/>
      <c r="J336" s="5"/>
      <c r="L336" s="5"/>
    </row>
    <row r="337" spans="2:12" ht="18" customHeight="1">
      <c r="B337" s="5"/>
      <c r="D337" s="5"/>
      <c r="F337" s="5"/>
      <c r="H337" s="5"/>
      <c r="J337" s="5"/>
      <c r="L337" s="5"/>
    </row>
    <row r="338" spans="2:12" ht="18" customHeight="1">
      <c r="B338" s="5"/>
      <c r="D338" s="5"/>
      <c r="F338" s="5"/>
      <c r="H338" s="5"/>
      <c r="J338" s="5"/>
      <c r="L338" s="5"/>
    </row>
    <row r="339" spans="2:12" ht="18" customHeight="1">
      <c r="B339" s="5"/>
      <c r="D339" s="5"/>
      <c r="F339" s="5"/>
      <c r="H339" s="5"/>
      <c r="J339" s="5"/>
      <c r="L339" s="5"/>
    </row>
    <row r="340" spans="2:12" ht="18" customHeight="1">
      <c r="B340" s="5"/>
      <c r="D340" s="5"/>
      <c r="F340" s="5"/>
      <c r="H340" s="5"/>
      <c r="J340" s="5"/>
      <c r="L340" s="5"/>
    </row>
    <row r="341" spans="2:12" ht="18" customHeight="1">
      <c r="B341" s="5"/>
      <c r="D341" s="5"/>
      <c r="F341" s="5"/>
      <c r="H341" s="5"/>
      <c r="J341" s="5"/>
      <c r="L341" s="5"/>
    </row>
    <row r="342" spans="2:12" ht="18" customHeight="1">
      <c r="B342" s="5"/>
      <c r="D342" s="5"/>
      <c r="F342" s="5"/>
      <c r="H342" s="5"/>
      <c r="J342" s="5"/>
      <c r="L342" s="5"/>
    </row>
    <row r="343" spans="2:12" ht="18" customHeight="1">
      <c r="B343" s="5"/>
      <c r="D343" s="5"/>
      <c r="F343" s="5"/>
      <c r="H343" s="5"/>
      <c r="J343" s="5"/>
      <c r="L343" s="5"/>
    </row>
    <row r="344" spans="2:12" ht="18" customHeight="1">
      <c r="B344" s="5"/>
      <c r="D344" s="5"/>
      <c r="F344" s="5"/>
      <c r="H344" s="5"/>
      <c r="J344" s="5"/>
      <c r="L344" s="5"/>
    </row>
    <row r="345" spans="2:12" ht="18" customHeight="1">
      <c r="B345" s="5"/>
      <c r="D345" s="5"/>
      <c r="F345" s="5"/>
      <c r="H345" s="5"/>
      <c r="J345" s="5"/>
      <c r="L345" s="5"/>
    </row>
    <row r="346" spans="2:12" ht="18" customHeight="1">
      <c r="B346" s="5"/>
      <c r="D346" s="5"/>
      <c r="F346" s="5"/>
      <c r="H346" s="5"/>
      <c r="J346" s="5"/>
      <c r="L346" s="5"/>
    </row>
    <row r="347" spans="2:12" ht="18" customHeight="1">
      <c r="B347" s="5"/>
      <c r="D347" s="5"/>
      <c r="F347" s="5"/>
      <c r="H347" s="5"/>
      <c r="J347" s="5"/>
      <c r="L347" s="5"/>
    </row>
    <row r="348" spans="2:12" ht="18" customHeight="1">
      <c r="B348" s="5"/>
      <c r="D348" s="5"/>
      <c r="F348" s="5"/>
      <c r="H348" s="5"/>
      <c r="J348" s="5"/>
      <c r="L348" s="5"/>
    </row>
    <row r="349" spans="2:12" ht="18" customHeight="1">
      <c r="B349" s="5"/>
      <c r="D349" s="5"/>
      <c r="F349" s="5"/>
      <c r="H349" s="5"/>
      <c r="J349" s="5"/>
      <c r="L349" s="5"/>
    </row>
    <row r="350" spans="2:12" ht="18" customHeight="1">
      <c r="B350" s="5"/>
      <c r="D350" s="5"/>
      <c r="F350" s="5"/>
      <c r="H350" s="5"/>
      <c r="J350" s="5"/>
      <c r="L350" s="5"/>
    </row>
    <row r="351" spans="2:12" ht="18" customHeight="1">
      <c r="B351" s="5"/>
      <c r="D351" s="5"/>
      <c r="F351" s="5"/>
      <c r="H351" s="5"/>
      <c r="J351" s="5"/>
      <c r="L351" s="5"/>
    </row>
    <row r="352" spans="2:12" ht="18" customHeight="1">
      <c r="B352" s="5"/>
      <c r="D352" s="5"/>
      <c r="F352" s="5"/>
      <c r="H352" s="5"/>
      <c r="J352" s="5"/>
      <c r="L352" s="5"/>
    </row>
    <row r="353" spans="2:12" ht="18" customHeight="1">
      <c r="B353" s="5"/>
      <c r="D353" s="5"/>
      <c r="F353" s="5"/>
      <c r="H353" s="5"/>
      <c r="J353" s="5"/>
      <c r="L353" s="5"/>
    </row>
    <row r="354" spans="2:12" ht="18" customHeight="1">
      <c r="B354" s="5"/>
      <c r="D354" s="5"/>
      <c r="F354" s="5"/>
      <c r="H354" s="5"/>
      <c r="J354" s="5"/>
      <c r="L354" s="5"/>
    </row>
    <row r="355" spans="2:12" ht="18" customHeight="1">
      <c r="B355" s="5"/>
      <c r="D355" s="5"/>
      <c r="F355" s="5"/>
      <c r="H355" s="5"/>
      <c r="J355" s="5"/>
      <c r="L355" s="5"/>
    </row>
    <row r="356" spans="2:12" ht="18" customHeight="1">
      <c r="B356" s="5"/>
      <c r="D356" s="5"/>
      <c r="F356" s="5"/>
      <c r="H356" s="5"/>
      <c r="J356" s="5"/>
      <c r="L356" s="5"/>
    </row>
    <row r="357" spans="2:12" ht="18" customHeight="1">
      <c r="B357" s="5"/>
      <c r="D357" s="5"/>
      <c r="F357" s="5"/>
      <c r="H357" s="5"/>
      <c r="J357" s="5"/>
      <c r="L357" s="5"/>
    </row>
    <row r="358" spans="2:12" ht="18" customHeight="1">
      <c r="B358" s="5"/>
      <c r="D358" s="5"/>
      <c r="F358" s="5"/>
      <c r="H358" s="5"/>
      <c r="J358" s="5"/>
      <c r="L358" s="5"/>
    </row>
    <row r="359" spans="2:12" ht="18" customHeight="1">
      <c r="B359" s="5"/>
      <c r="D359" s="5"/>
      <c r="F359" s="5"/>
      <c r="H359" s="5"/>
      <c r="J359" s="5"/>
      <c r="L359" s="5"/>
    </row>
    <row r="360" spans="2:12" ht="18" customHeight="1">
      <c r="B360" s="5"/>
      <c r="D360" s="5"/>
      <c r="F360" s="5"/>
      <c r="H360" s="5"/>
      <c r="J360" s="5"/>
      <c r="L360" s="5"/>
    </row>
    <row r="361" spans="2:12" ht="18" customHeight="1">
      <c r="B361" s="5"/>
      <c r="D361" s="5"/>
      <c r="F361" s="5"/>
      <c r="H361" s="5"/>
      <c r="J361" s="5"/>
      <c r="L361" s="5"/>
    </row>
    <row r="362" spans="2:12" ht="18" customHeight="1">
      <c r="B362" s="5"/>
      <c r="D362" s="5"/>
      <c r="F362" s="5"/>
      <c r="H362" s="5"/>
      <c r="J362" s="5"/>
      <c r="L362" s="5"/>
    </row>
    <row r="363" spans="2:12" ht="18" customHeight="1">
      <c r="B363" s="5"/>
      <c r="D363" s="5"/>
      <c r="F363" s="5"/>
      <c r="H363" s="5"/>
      <c r="J363" s="5"/>
      <c r="L363" s="5"/>
    </row>
    <row r="364" spans="2:12" ht="18" customHeight="1">
      <c r="B364" s="5"/>
      <c r="D364" s="5"/>
      <c r="F364" s="5"/>
      <c r="H364" s="5"/>
      <c r="J364" s="5"/>
      <c r="L364" s="5"/>
    </row>
    <row r="365" spans="2:12" ht="18" customHeight="1">
      <c r="B365" s="5"/>
      <c r="D365" s="5"/>
      <c r="F365" s="5"/>
      <c r="H365" s="5"/>
      <c r="J365" s="5"/>
      <c r="L365" s="5"/>
    </row>
    <row r="366" spans="2:12" ht="18" customHeight="1">
      <c r="B366" s="5"/>
      <c r="D366" s="5"/>
      <c r="F366" s="5"/>
      <c r="H366" s="5"/>
      <c r="J366" s="5"/>
      <c r="L366" s="5"/>
    </row>
    <row r="367" spans="2:12" ht="18" customHeight="1">
      <c r="B367" s="5"/>
      <c r="D367" s="5"/>
      <c r="F367" s="5"/>
      <c r="H367" s="5"/>
      <c r="J367" s="5"/>
      <c r="L367" s="5"/>
    </row>
    <row r="368" spans="2:12" ht="18" customHeight="1">
      <c r="B368" s="5"/>
      <c r="D368" s="5"/>
      <c r="F368" s="5"/>
      <c r="H368" s="5"/>
      <c r="J368" s="5"/>
      <c r="L368" s="5"/>
    </row>
    <row r="369" spans="2:12" ht="18" customHeight="1">
      <c r="B369" s="5"/>
      <c r="D369" s="5"/>
      <c r="F369" s="5"/>
      <c r="H369" s="5"/>
      <c r="J369" s="5"/>
      <c r="L369" s="5"/>
    </row>
    <row r="370" spans="2:12" ht="18" customHeight="1">
      <c r="B370" s="5"/>
      <c r="D370" s="5"/>
      <c r="F370" s="5"/>
      <c r="H370" s="5"/>
      <c r="J370" s="5"/>
      <c r="L370" s="5"/>
    </row>
    <row r="371" spans="2:12" ht="18" customHeight="1">
      <c r="B371" s="5"/>
      <c r="D371" s="5"/>
      <c r="F371" s="5"/>
      <c r="H371" s="5"/>
      <c r="J371" s="5"/>
      <c r="L371" s="5"/>
    </row>
    <row r="372" spans="2:12" ht="18" customHeight="1">
      <c r="B372" s="5"/>
      <c r="D372" s="5"/>
      <c r="F372" s="5"/>
      <c r="H372" s="5"/>
      <c r="J372" s="5"/>
      <c r="L372" s="5"/>
    </row>
    <row r="373" spans="2:12" ht="18" customHeight="1">
      <c r="B373" s="5"/>
      <c r="D373" s="5"/>
      <c r="F373" s="5"/>
      <c r="H373" s="5"/>
      <c r="J373" s="5"/>
      <c r="L373" s="5"/>
    </row>
    <row r="374" spans="2:12" ht="18" customHeight="1">
      <c r="B374" s="5"/>
      <c r="D374" s="5"/>
      <c r="F374" s="5"/>
      <c r="H374" s="5"/>
      <c r="J374" s="5"/>
      <c r="L374" s="5"/>
    </row>
    <row r="375" spans="2:12" ht="18" customHeight="1">
      <c r="B375" s="5"/>
      <c r="D375" s="5"/>
      <c r="F375" s="5"/>
      <c r="H375" s="5"/>
      <c r="J375" s="5"/>
      <c r="L375" s="5"/>
    </row>
    <row r="376" spans="2:12" ht="18" customHeight="1">
      <c r="B376" s="5"/>
      <c r="D376" s="5"/>
      <c r="F376" s="5"/>
      <c r="H376" s="5"/>
      <c r="J376" s="5"/>
      <c r="L376" s="5"/>
    </row>
    <row r="377" spans="2:12" ht="18" customHeight="1">
      <c r="B377" s="5"/>
      <c r="D377" s="5"/>
      <c r="F377" s="5"/>
      <c r="H377" s="5"/>
      <c r="J377" s="5"/>
      <c r="L377" s="5"/>
    </row>
    <row r="378" spans="2:12" ht="18" customHeight="1">
      <c r="B378" s="5"/>
      <c r="D378" s="5"/>
      <c r="F378" s="5"/>
      <c r="H378" s="5"/>
      <c r="J378" s="5"/>
      <c r="L378" s="5"/>
    </row>
    <row r="379" spans="2:12" ht="18" customHeight="1">
      <c r="B379" s="5"/>
      <c r="D379" s="5"/>
      <c r="F379" s="5"/>
      <c r="H379" s="5"/>
      <c r="J379" s="5"/>
      <c r="L379" s="5"/>
    </row>
    <row r="380" spans="2:12" ht="18" customHeight="1">
      <c r="B380" s="5"/>
      <c r="D380" s="5"/>
      <c r="F380" s="5"/>
      <c r="H380" s="5"/>
      <c r="J380" s="5"/>
      <c r="L380" s="5"/>
    </row>
    <row r="381" spans="2:12" ht="18" customHeight="1">
      <c r="B381" s="5"/>
      <c r="D381" s="5"/>
      <c r="F381" s="5"/>
      <c r="H381" s="5"/>
      <c r="J381" s="5"/>
      <c r="L381" s="5"/>
    </row>
    <row r="382" spans="2:12" ht="18" customHeight="1">
      <c r="B382" s="5"/>
      <c r="D382" s="5"/>
      <c r="F382" s="5"/>
      <c r="H382" s="5"/>
      <c r="J382" s="5"/>
      <c r="L382" s="5"/>
    </row>
    <row r="383" spans="2:12" ht="18" customHeight="1">
      <c r="B383" s="5"/>
      <c r="D383" s="5"/>
      <c r="F383" s="5"/>
      <c r="H383" s="5"/>
      <c r="J383" s="5"/>
      <c r="L383" s="5"/>
    </row>
    <row r="384" spans="2:12" ht="18" customHeight="1">
      <c r="B384" s="5"/>
      <c r="D384" s="5"/>
      <c r="F384" s="5"/>
      <c r="H384" s="5"/>
      <c r="J384" s="5"/>
      <c r="L384" s="5"/>
    </row>
    <row r="385" spans="2:12" ht="18" customHeight="1">
      <c r="B385" s="5"/>
      <c r="D385" s="5"/>
      <c r="F385" s="5"/>
      <c r="H385" s="5"/>
      <c r="J385" s="5"/>
      <c r="L385" s="5"/>
    </row>
    <row r="386" spans="2:12" ht="18" customHeight="1">
      <c r="B386" s="5"/>
      <c r="D386" s="5"/>
      <c r="F386" s="5"/>
      <c r="H386" s="5"/>
      <c r="J386" s="5"/>
      <c r="L386" s="5"/>
    </row>
    <row r="387" spans="2:12" ht="18" customHeight="1">
      <c r="B387" s="5"/>
      <c r="D387" s="5"/>
      <c r="F387" s="5"/>
      <c r="H387" s="5"/>
      <c r="J387" s="5"/>
      <c r="L387" s="5"/>
    </row>
    <row r="388" spans="2:12" ht="18" customHeight="1">
      <c r="B388" s="5"/>
      <c r="D388" s="5"/>
      <c r="F388" s="5"/>
      <c r="H388" s="5"/>
      <c r="J388" s="5"/>
      <c r="L388" s="5"/>
    </row>
    <row r="389" spans="2:12" ht="18" customHeight="1">
      <c r="B389" s="5"/>
      <c r="D389" s="5"/>
      <c r="F389" s="5"/>
      <c r="H389" s="5"/>
      <c r="J389" s="5"/>
      <c r="L389" s="5"/>
    </row>
    <row r="390" spans="2:12" ht="18" customHeight="1">
      <c r="B390" s="5"/>
      <c r="D390" s="5"/>
      <c r="F390" s="5"/>
      <c r="H390" s="5"/>
      <c r="J390" s="5"/>
      <c r="L390" s="5"/>
    </row>
    <row r="391" spans="2:12" ht="18" customHeight="1">
      <c r="B391" s="5"/>
      <c r="D391" s="5"/>
      <c r="F391" s="5"/>
      <c r="H391" s="5"/>
      <c r="J391" s="5"/>
      <c r="L391" s="5"/>
    </row>
    <row r="392" spans="2:12" ht="18" customHeight="1">
      <c r="B392" s="5"/>
      <c r="D392" s="5"/>
      <c r="F392" s="5"/>
      <c r="H392" s="5"/>
      <c r="J392" s="5"/>
      <c r="L392" s="5"/>
    </row>
    <row r="393" spans="2:12" ht="18" customHeight="1">
      <c r="B393" s="5"/>
      <c r="D393" s="5"/>
      <c r="F393" s="5"/>
      <c r="H393" s="5"/>
      <c r="J393" s="5"/>
      <c r="L393" s="5"/>
    </row>
    <row r="394" spans="2:12" ht="18" customHeight="1">
      <c r="B394" s="5"/>
      <c r="D394" s="5"/>
      <c r="F394" s="5"/>
      <c r="H394" s="5"/>
      <c r="J394" s="5"/>
      <c r="L394" s="5"/>
    </row>
    <row r="395" spans="2:12" ht="18" customHeight="1">
      <c r="B395" s="5"/>
      <c r="D395" s="5"/>
      <c r="F395" s="5"/>
      <c r="H395" s="5"/>
      <c r="J395" s="5"/>
      <c r="L395" s="5"/>
    </row>
    <row r="396" spans="2:12" ht="18" customHeight="1">
      <c r="B396" s="5"/>
      <c r="D396" s="5"/>
      <c r="F396" s="5"/>
      <c r="H396" s="5"/>
      <c r="J396" s="5"/>
      <c r="L396" s="5"/>
    </row>
    <row r="397" spans="2:12" ht="18" customHeight="1">
      <c r="B397" s="5"/>
      <c r="D397" s="5"/>
      <c r="F397" s="5"/>
      <c r="H397" s="5"/>
      <c r="J397" s="5"/>
      <c r="L397" s="5"/>
    </row>
    <row r="398" spans="2:12" ht="18" customHeight="1">
      <c r="B398" s="5"/>
      <c r="D398" s="5"/>
      <c r="F398" s="5"/>
      <c r="H398" s="5"/>
      <c r="J398" s="5"/>
      <c r="L398" s="5"/>
    </row>
    <row r="399" spans="2:12" ht="18" customHeight="1">
      <c r="B399" s="5"/>
      <c r="D399" s="5"/>
      <c r="F399" s="5"/>
      <c r="H399" s="5"/>
      <c r="J399" s="5"/>
      <c r="L399" s="5"/>
    </row>
    <row r="400" spans="2:12" ht="18" customHeight="1">
      <c r="B400" s="5"/>
      <c r="D400" s="5"/>
      <c r="F400" s="5"/>
      <c r="H400" s="5"/>
      <c r="J400" s="5"/>
      <c r="L400" s="5"/>
    </row>
    <row r="401" spans="2:12" ht="18" customHeight="1">
      <c r="B401" s="5"/>
      <c r="D401" s="5"/>
      <c r="F401" s="5"/>
      <c r="H401" s="5"/>
      <c r="J401" s="5"/>
      <c r="L401" s="5"/>
    </row>
    <row r="402" spans="2:12" ht="18" customHeight="1">
      <c r="B402" s="5"/>
      <c r="D402" s="5"/>
      <c r="F402" s="5"/>
      <c r="H402" s="5"/>
      <c r="J402" s="5"/>
      <c r="L402" s="5"/>
    </row>
    <row r="403" spans="2:12" ht="18" customHeight="1">
      <c r="B403" s="5"/>
      <c r="D403" s="5"/>
      <c r="F403" s="5"/>
      <c r="H403" s="5"/>
      <c r="J403" s="5"/>
      <c r="L403" s="5"/>
    </row>
    <row r="404" spans="2:12" ht="18" customHeight="1">
      <c r="B404" s="5"/>
      <c r="D404" s="5"/>
      <c r="F404" s="5"/>
      <c r="H404" s="5"/>
      <c r="J404" s="5"/>
      <c r="L404" s="5"/>
    </row>
    <row r="405" spans="2:12" ht="18" customHeight="1">
      <c r="B405" s="5"/>
      <c r="D405" s="5"/>
      <c r="F405" s="5"/>
      <c r="H405" s="5"/>
      <c r="J405" s="5"/>
      <c r="L405" s="5"/>
    </row>
    <row r="406" spans="2:12" ht="18" customHeight="1">
      <c r="B406" s="5"/>
      <c r="D406" s="5"/>
      <c r="F406" s="5"/>
      <c r="H406" s="5"/>
      <c r="J406" s="5"/>
      <c r="L406" s="5"/>
    </row>
    <row r="407" spans="2:12" ht="18" customHeight="1">
      <c r="B407" s="5"/>
      <c r="D407" s="5"/>
      <c r="F407" s="5"/>
      <c r="H407" s="5"/>
      <c r="J407" s="5"/>
      <c r="L407" s="5"/>
    </row>
    <row r="408" spans="2:12" ht="18" customHeight="1">
      <c r="B408" s="5"/>
      <c r="D408" s="5"/>
      <c r="F408" s="5"/>
      <c r="H408" s="5"/>
      <c r="J408" s="5"/>
      <c r="L408" s="5"/>
    </row>
    <row r="409" spans="2:12" ht="18" customHeight="1">
      <c r="B409" s="5"/>
      <c r="D409" s="5"/>
      <c r="F409" s="5"/>
      <c r="H409" s="5"/>
      <c r="J409" s="5"/>
      <c r="L409" s="5"/>
    </row>
    <row r="410" spans="2:12" ht="18" customHeight="1">
      <c r="B410" s="5"/>
      <c r="D410" s="5"/>
      <c r="F410" s="5"/>
      <c r="H410" s="5"/>
      <c r="J410" s="5"/>
      <c r="L410" s="5"/>
    </row>
    <row r="411" spans="2:12" ht="18" customHeight="1">
      <c r="B411" s="5"/>
      <c r="D411" s="5"/>
      <c r="F411" s="5"/>
      <c r="H411" s="5"/>
      <c r="J411" s="5"/>
      <c r="L411" s="5"/>
    </row>
    <row r="412" spans="2:12" ht="18" customHeight="1">
      <c r="B412" s="5"/>
      <c r="D412" s="5"/>
      <c r="F412" s="5"/>
      <c r="H412" s="5"/>
      <c r="J412" s="5"/>
      <c r="L412" s="5"/>
    </row>
    <row r="413" spans="2:12" ht="18" customHeight="1">
      <c r="B413" s="5"/>
      <c r="D413" s="5"/>
      <c r="F413" s="5"/>
      <c r="H413" s="5"/>
      <c r="J413" s="5"/>
      <c r="L413" s="5"/>
    </row>
    <row r="414" spans="2:12" ht="18" customHeight="1">
      <c r="B414" s="5"/>
      <c r="D414" s="5"/>
      <c r="F414" s="5"/>
      <c r="H414" s="5"/>
      <c r="J414" s="5"/>
      <c r="L414" s="5"/>
    </row>
    <row r="415" spans="2:12" ht="18" customHeight="1">
      <c r="B415" s="5"/>
      <c r="D415" s="5"/>
      <c r="F415" s="5"/>
      <c r="H415" s="5"/>
      <c r="J415" s="5"/>
      <c r="L415" s="5"/>
    </row>
    <row r="416" spans="2:12" ht="18" customHeight="1">
      <c r="B416" s="5"/>
      <c r="D416" s="5"/>
      <c r="F416" s="5"/>
      <c r="H416" s="5"/>
      <c r="J416" s="5"/>
      <c r="L416" s="5"/>
    </row>
    <row r="417" spans="2:12" ht="18" customHeight="1">
      <c r="B417" s="5"/>
      <c r="D417" s="5"/>
      <c r="F417" s="5"/>
      <c r="H417" s="5"/>
      <c r="J417" s="5"/>
      <c r="L417" s="5"/>
    </row>
    <row r="418" spans="2:12" ht="18" customHeight="1">
      <c r="B418" s="5"/>
      <c r="D418" s="5"/>
      <c r="F418" s="5"/>
      <c r="H418" s="5"/>
      <c r="J418" s="5"/>
      <c r="L418" s="5"/>
    </row>
    <row r="419" spans="2:12" ht="18" customHeight="1">
      <c r="B419" s="5"/>
      <c r="D419" s="5"/>
      <c r="F419" s="5"/>
      <c r="H419" s="5"/>
      <c r="J419" s="5"/>
      <c r="L419" s="5"/>
    </row>
    <row r="420" spans="2:12" ht="18" customHeight="1">
      <c r="B420" s="5"/>
      <c r="D420" s="5"/>
      <c r="F420" s="5"/>
      <c r="H420" s="5"/>
      <c r="J420" s="5"/>
      <c r="L420" s="5"/>
    </row>
    <row r="421" spans="2:12" ht="18" customHeight="1">
      <c r="B421" s="5"/>
      <c r="D421" s="5"/>
      <c r="F421" s="5"/>
      <c r="H421" s="5"/>
      <c r="J421" s="5"/>
      <c r="L421" s="5"/>
    </row>
    <row r="422" spans="2:12" ht="18" customHeight="1">
      <c r="B422" s="5"/>
      <c r="D422" s="5"/>
      <c r="F422" s="5"/>
      <c r="H422" s="5"/>
      <c r="J422" s="5"/>
      <c r="L422" s="5"/>
    </row>
    <row r="423" spans="2:12" ht="18" customHeight="1">
      <c r="B423" s="5"/>
      <c r="D423" s="5"/>
      <c r="F423" s="5"/>
      <c r="H423" s="5"/>
      <c r="J423" s="5"/>
      <c r="L423" s="5"/>
    </row>
    <row r="424" spans="2:12" ht="18" customHeight="1">
      <c r="B424" s="5"/>
      <c r="D424" s="5"/>
      <c r="F424" s="5"/>
      <c r="H424" s="5"/>
      <c r="J424" s="5"/>
      <c r="L424" s="5"/>
    </row>
    <row r="425" spans="2:12" ht="18" customHeight="1">
      <c r="B425" s="5"/>
      <c r="D425" s="5"/>
      <c r="F425" s="5"/>
      <c r="H425" s="5"/>
      <c r="J425" s="5"/>
      <c r="L425" s="5"/>
    </row>
    <row r="426" spans="2:12" ht="18" customHeight="1">
      <c r="B426" s="5"/>
      <c r="D426" s="5"/>
      <c r="F426" s="5"/>
      <c r="H426" s="5"/>
      <c r="J426" s="5"/>
      <c r="L426" s="5"/>
    </row>
    <row r="427" spans="2:12" ht="18" customHeight="1">
      <c r="B427" s="5"/>
      <c r="D427" s="5"/>
      <c r="F427" s="5"/>
      <c r="H427" s="5"/>
      <c r="J427" s="5"/>
      <c r="L427" s="5"/>
    </row>
    <row r="428" spans="2:12" ht="18" customHeight="1">
      <c r="B428" s="5"/>
      <c r="D428" s="5"/>
      <c r="F428" s="5"/>
      <c r="H428" s="5"/>
      <c r="J428" s="5"/>
      <c r="L428" s="5"/>
    </row>
    <row r="429" spans="2:12" ht="18" customHeight="1">
      <c r="B429" s="5"/>
      <c r="D429" s="5"/>
      <c r="F429" s="5"/>
      <c r="H429" s="5"/>
      <c r="J429" s="5"/>
      <c r="L429" s="5"/>
    </row>
    <row r="430" spans="2:12" ht="18" customHeight="1">
      <c r="B430" s="5"/>
      <c r="D430" s="5"/>
      <c r="F430" s="5"/>
      <c r="H430" s="5"/>
      <c r="J430" s="5"/>
      <c r="L430" s="5"/>
    </row>
    <row r="431" spans="2:12" ht="18" customHeight="1">
      <c r="B431" s="5"/>
      <c r="D431" s="5"/>
      <c r="F431" s="5"/>
      <c r="H431" s="5"/>
      <c r="J431" s="5"/>
      <c r="L431" s="5"/>
    </row>
    <row r="432" spans="2:12" ht="18" customHeight="1">
      <c r="B432" s="5"/>
      <c r="D432" s="5"/>
      <c r="F432" s="5"/>
      <c r="H432" s="5"/>
      <c r="J432" s="5"/>
      <c r="L432" s="5"/>
    </row>
    <row r="433" spans="2:12" ht="18" customHeight="1">
      <c r="B433" s="5"/>
      <c r="D433" s="5"/>
      <c r="F433" s="5"/>
      <c r="H433" s="5"/>
      <c r="J433" s="5"/>
      <c r="L433" s="5"/>
    </row>
    <row r="434" spans="2:12" ht="18" customHeight="1">
      <c r="B434" s="5"/>
      <c r="D434" s="5"/>
      <c r="F434" s="5"/>
      <c r="H434" s="5"/>
      <c r="J434" s="5"/>
      <c r="L434" s="5"/>
    </row>
    <row r="435" spans="2:12" ht="18" customHeight="1">
      <c r="B435" s="5"/>
      <c r="D435" s="5"/>
      <c r="F435" s="5"/>
      <c r="H435" s="5"/>
      <c r="J435" s="5"/>
      <c r="L435" s="5"/>
    </row>
    <row r="436" spans="2:12" ht="18" customHeight="1">
      <c r="B436" s="5"/>
      <c r="D436" s="5"/>
      <c r="F436" s="5"/>
      <c r="H436" s="5"/>
      <c r="J436" s="5"/>
      <c r="L436" s="5"/>
    </row>
    <row r="437" spans="2:12" ht="18" customHeight="1">
      <c r="B437" s="5"/>
      <c r="D437" s="5"/>
      <c r="F437" s="5"/>
      <c r="H437" s="5"/>
      <c r="J437" s="5"/>
      <c r="L437" s="5"/>
    </row>
    <row r="438" spans="2:12" ht="18" customHeight="1">
      <c r="B438" s="5"/>
      <c r="D438" s="5"/>
      <c r="F438" s="5"/>
      <c r="H438" s="5"/>
      <c r="J438" s="5"/>
      <c r="L438" s="5"/>
    </row>
    <row r="439" spans="2:12" ht="18" customHeight="1">
      <c r="B439" s="5"/>
      <c r="D439" s="5"/>
      <c r="F439" s="5"/>
      <c r="H439" s="5"/>
      <c r="J439" s="5"/>
      <c r="L439" s="5"/>
    </row>
    <row r="440" spans="2:12" ht="18" customHeight="1">
      <c r="B440" s="5"/>
      <c r="D440" s="5"/>
      <c r="F440" s="5"/>
      <c r="H440" s="5"/>
      <c r="J440" s="5"/>
      <c r="L440" s="5"/>
    </row>
    <row r="441" spans="2:12" ht="18" customHeight="1">
      <c r="B441" s="5"/>
      <c r="D441" s="5"/>
      <c r="F441" s="5"/>
      <c r="H441" s="5"/>
      <c r="J441" s="5"/>
      <c r="L441" s="5"/>
    </row>
    <row r="442" spans="2:12" ht="18" customHeight="1">
      <c r="B442" s="5"/>
      <c r="D442" s="5"/>
      <c r="F442" s="5"/>
      <c r="H442" s="5"/>
      <c r="J442" s="5"/>
      <c r="L442" s="5"/>
    </row>
    <row r="443" spans="2:12" ht="18" customHeight="1">
      <c r="B443" s="5"/>
      <c r="D443" s="5"/>
      <c r="F443" s="5"/>
      <c r="H443" s="5"/>
      <c r="J443" s="5"/>
      <c r="L443" s="5"/>
    </row>
    <row r="444" spans="2:12" ht="18" customHeight="1">
      <c r="B444" s="5"/>
      <c r="D444" s="5"/>
      <c r="F444" s="5"/>
      <c r="H444" s="5"/>
      <c r="J444" s="5"/>
      <c r="L444" s="5"/>
    </row>
    <row r="445" spans="2:12" ht="18" customHeight="1">
      <c r="B445" s="5"/>
      <c r="D445" s="5"/>
      <c r="F445" s="5"/>
      <c r="H445" s="5"/>
      <c r="J445" s="5"/>
      <c r="L445" s="5"/>
    </row>
    <row r="446" spans="2:12" ht="18" customHeight="1">
      <c r="B446" s="5"/>
      <c r="D446" s="5"/>
      <c r="F446" s="5"/>
      <c r="H446" s="5"/>
      <c r="J446" s="5"/>
      <c r="L446" s="5"/>
    </row>
    <row r="447" spans="2:12" ht="18" customHeight="1">
      <c r="B447" s="5"/>
      <c r="D447" s="5"/>
      <c r="F447" s="5"/>
      <c r="H447" s="5"/>
      <c r="J447" s="5"/>
      <c r="L447" s="5"/>
    </row>
    <row r="448" spans="2:12" ht="18" customHeight="1">
      <c r="B448" s="5"/>
      <c r="D448" s="5"/>
      <c r="F448" s="5"/>
      <c r="H448" s="5"/>
      <c r="J448" s="5"/>
      <c r="L448" s="5"/>
    </row>
    <row r="449" spans="2:12" ht="18" customHeight="1">
      <c r="B449" s="5"/>
      <c r="D449" s="5"/>
      <c r="F449" s="5"/>
      <c r="H449" s="5"/>
      <c r="J449" s="5"/>
      <c r="L449" s="5"/>
    </row>
    <row r="450" spans="2:12" ht="18" customHeight="1">
      <c r="B450" s="5"/>
      <c r="D450" s="5"/>
      <c r="F450" s="5"/>
      <c r="H450" s="5"/>
      <c r="J450" s="5"/>
      <c r="L450" s="5"/>
    </row>
    <row r="451" spans="2:12" ht="18" customHeight="1">
      <c r="B451" s="5"/>
      <c r="D451" s="5"/>
      <c r="F451" s="5"/>
      <c r="H451" s="5"/>
      <c r="J451" s="5"/>
      <c r="L451" s="5"/>
    </row>
    <row r="452" spans="2:12" ht="18" customHeight="1">
      <c r="B452" s="5"/>
      <c r="D452" s="5"/>
      <c r="F452" s="5"/>
      <c r="H452" s="5"/>
      <c r="J452" s="5"/>
      <c r="L452" s="5"/>
    </row>
    <row r="453" spans="2:12" ht="18" customHeight="1">
      <c r="B453" s="5"/>
      <c r="D453" s="5"/>
      <c r="F453" s="5"/>
      <c r="H453" s="5"/>
      <c r="J453" s="5"/>
      <c r="L453" s="5"/>
    </row>
    <row r="454" spans="2:12" ht="18" customHeight="1">
      <c r="B454" s="5"/>
      <c r="D454" s="5"/>
      <c r="F454" s="5"/>
      <c r="H454" s="5"/>
      <c r="J454" s="5"/>
      <c r="L454" s="5"/>
    </row>
    <row r="455" spans="2:12" ht="18" customHeight="1">
      <c r="B455" s="5"/>
      <c r="D455" s="5"/>
      <c r="F455" s="5"/>
      <c r="H455" s="5"/>
      <c r="J455" s="5"/>
      <c r="L455" s="5"/>
    </row>
    <row r="456" spans="2:12" ht="18" customHeight="1">
      <c r="B456" s="5"/>
      <c r="D456" s="5"/>
      <c r="F456" s="5"/>
      <c r="H456" s="5"/>
      <c r="J456" s="5"/>
      <c r="L456" s="5"/>
    </row>
    <row r="457" spans="2:12" ht="18" customHeight="1">
      <c r="B457" s="5"/>
      <c r="D457" s="5"/>
      <c r="F457" s="5"/>
      <c r="H457" s="5"/>
      <c r="J457" s="5"/>
      <c r="L457" s="5"/>
    </row>
    <row r="458" spans="2:12" ht="18" customHeight="1">
      <c r="B458" s="5"/>
      <c r="D458" s="5"/>
      <c r="F458" s="5"/>
      <c r="H458" s="5"/>
      <c r="J458" s="5"/>
      <c r="L458" s="5"/>
    </row>
    <row r="459" spans="2:12" ht="18" customHeight="1">
      <c r="B459" s="5"/>
      <c r="D459" s="5"/>
      <c r="F459" s="5"/>
      <c r="H459" s="5"/>
      <c r="J459" s="5"/>
      <c r="L459" s="5"/>
    </row>
    <row r="460" spans="2:12" ht="18" customHeight="1">
      <c r="B460" s="5"/>
      <c r="D460" s="5"/>
      <c r="F460" s="5"/>
      <c r="H460" s="5"/>
      <c r="J460" s="5"/>
      <c r="L460" s="5"/>
    </row>
    <row r="461" spans="2:12" ht="18" customHeight="1">
      <c r="B461" s="5"/>
      <c r="D461" s="5"/>
      <c r="F461" s="5"/>
      <c r="H461" s="5"/>
      <c r="J461" s="5"/>
      <c r="L461" s="5"/>
    </row>
    <row r="462" spans="2:12" ht="18" customHeight="1">
      <c r="B462" s="5"/>
      <c r="D462" s="5"/>
      <c r="F462" s="5"/>
      <c r="H462" s="5"/>
      <c r="J462" s="5"/>
      <c r="L462" s="5"/>
    </row>
    <row r="463" spans="2:12" ht="18" customHeight="1">
      <c r="B463" s="5"/>
      <c r="D463" s="5"/>
      <c r="F463" s="5"/>
      <c r="H463" s="5"/>
      <c r="J463" s="5"/>
      <c r="L463" s="5"/>
    </row>
    <row r="464" spans="2:12" ht="18" customHeight="1">
      <c r="B464" s="5"/>
      <c r="D464" s="5"/>
      <c r="F464" s="5"/>
      <c r="H464" s="5"/>
      <c r="J464" s="5"/>
      <c r="L464" s="5"/>
    </row>
    <row r="465" spans="2:12" ht="18" customHeight="1">
      <c r="B465" s="5"/>
      <c r="D465" s="5"/>
      <c r="F465" s="5"/>
      <c r="H465" s="5"/>
      <c r="J465" s="5"/>
      <c r="L465" s="5"/>
    </row>
    <row r="466" spans="2:12" ht="18" customHeight="1">
      <c r="B466" s="5"/>
      <c r="D466" s="5"/>
      <c r="F466" s="5"/>
      <c r="H466" s="5"/>
      <c r="J466" s="5"/>
      <c r="L466" s="5"/>
    </row>
    <row r="467" spans="2:12" ht="18" customHeight="1">
      <c r="B467" s="5"/>
      <c r="D467" s="5"/>
      <c r="F467" s="5"/>
      <c r="H467" s="5"/>
      <c r="J467" s="5"/>
      <c r="L467" s="5"/>
    </row>
    <row r="468" spans="2:12" ht="18" customHeight="1">
      <c r="B468" s="5"/>
      <c r="D468" s="5"/>
      <c r="F468" s="5"/>
      <c r="H468" s="5"/>
      <c r="J468" s="5"/>
      <c r="L468" s="5"/>
    </row>
    <row r="469" spans="2:12" ht="18" customHeight="1">
      <c r="B469" s="5"/>
      <c r="D469" s="5"/>
      <c r="F469" s="5"/>
      <c r="H469" s="5"/>
      <c r="J469" s="5"/>
      <c r="L469" s="5"/>
    </row>
    <row r="470" spans="2:12" ht="18" customHeight="1">
      <c r="B470" s="5"/>
      <c r="D470" s="5"/>
      <c r="F470" s="5"/>
      <c r="H470" s="5"/>
      <c r="J470" s="5"/>
      <c r="L470" s="5"/>
    </row>
    <row r="471" spans="2:12" ht="18" customHeight="1">
      <c r="B471" s="5"/>
      <c r="D471" s="5"/>
      <c r="F471" s="5"/>
      <c r="H471" s="5"/>
      <c r="J471" s="5"/>
      <c r="L471" s="5"/>
    </row>
    <row r="472" spans="2:12" ht="18" customHeight="1">
      <c r="B472" s="5"/>
      <c r="D472" s="5"/>
      <c r="F472" s="5"/>
      <c r="H472" s="5"/>
      <c r="J472" s="5"/>
      <c r="L472" s="5"/>
    </row>
    <row r="473" spans="2:12" ht="18" customHeight="1">
      <c r="B473" s="5"/>
      <c r="D473" s="5"/>
      <c r="F473" s="5"/>
      <c r="H473" s="5"/>
      <c r="J473" s="5"/>
      <c r="L473" s="5"/>
    </row>
    <row r="474" spans="2:12" ht="18" customHeight="1">
      <c r="B474" s="5"/>
      <c r="D474" s="5"/>
      <c r="F474" s="5"/>
      <c r="H474" s="5"/>
      <c r="J474" s="5"/>
      <c r="L474" s="5"/>
    </row>
    <row r="475" spans="2:12" ht="18" customHeight="1">
      <c r="B475" s="5"/>
      <c r="D475" s="5"/>
      <c r="F475" s="5"/>
      <c r="H475" s="5"/>
      <c r="J475" s="5"/>
      <c r="L475" s="5"/>
    </row>
    <row r="476" spans="2:12" ht="18" customHeight="1">
      <c r="B476" s="5"/>
      <c r="D476" s="5"/>
      <c r="F476" s="5"/>
      <c r="H476" s="5"/>
      <c r="J476" s="5"/>
      <c r="L476" s="5"/>
    </row>
    <row r="477" spans="2:12" ht="18" customHeight="1">
      <c r="B477" s="5"/>
      <c r="D477" s="5"/>
      <c r="F477" s="5"/>
      <c r="H477" s="5"/>
      <c r="J477" s="5"/>
      <c r="L477" s="5"/>
    </row>
    <row r="478" spans="2:12" ht="18" customHeight="1">
      <c r="B478" s="5"/>
      <c r="D478" s="5"/>
      <c r="F478" s="5"/>
      <c r="H478" s="5"/>
      <c r="J478" s="5"/>
      <c r="L478" s="5"/>
    </row>
    <row r="479" spans="2:12" ht="18" customHeight="1">
      <c r="B479" s="5"/>
      <c r="D479" s="5"/>
      <c r="F479" s="5"/>
      <c r="H479" s="5"/>
      <c r="J479" s="5"/>
      <c r="L479" s="5"/>
    </row>
    <row r="480" spans="2:12" ht="18" customHeight="1">
      <c r="B480" s="5"/>
      <c r="D480" s="5"/>
      <c r="F480" s="5"/>
      <c r="H480" s="5"/>
      <c r="J480" s="5"/>
      <c r="L480" s="5"/>
    </row>
    <row r="481" spans="2:12" ht="18" customHeight="1">
      <c r="B481" s="5"/>
      <c r="D481" s="5"/>
      <c r="F481" s="5"/>
      <c r="H481" s="5"/>
      <c r="J481" s="5"/>
      <c r="L481" s="5"/>
    </row>
    <row r="482" spans="2:12" ht="18" customHeight="1">
      <c r="B482" s="5"/>
      <c r="D482" s="5"/>
      <c r="F482" s="5"/>
      <c r="H482" s="5"/>
      <c r="J482" s="5"/>
      <c r="L482" s="5"/>
    </row>
    <row r="483" spans="2:12" ht="18" customHeight="1">
      <c r="B483" s="5"/>
      <c r="D483" s="5"/>
      <c r="F483" s="5"/>
      <c r="H483" s="5"/>
      <c r="J483" s="5"/>
      <c r="L483" s="5"/>
    </row>
    <row r="484" spans="2:12" ht="18" customHeight="1">
      <c r="B484" s="5"/>
      <c r="D484" s="5"/>
      <c r="F484" s="5"/>
      <c r="H484" s="5"/>
      <c r="J484" s="5"/>
      <c r="L484" s="5"/>
    </row>
    <row r="485" spans="2:12" ht="18" customHeight="1">
      <c r="B485" s="5"/>
      <c r="D485" s="5"/>
      <c r="F485" s="5"/>
      <c r="H485" s="5"/>
      <c r="J485" s="5"/>
      <c r="L485" s="5"/>
    </row>
    <row r="486" spans="2:12" ht="18" customHeight="1">
      <c r="B486" s="5"/>
      <c r="D486" s="5"/>
      <c r="F486" s="5"/>
      <c r="H486" s="5"/>
      <c r="J486" s="5"/>
      <c r="L486" s="5"/>
    </row>
    <row r="487" spans="2:12" ht="18" customHeight="1">
      <c r="B487" s="5"/>
      <c r="D487" s="5"/>
      <c r="F487" s="5"/>
      <c r="H487" s="5"/>
      <c r="J487" s="5"/>
      <c r="L487" s="5"/>
    </row>
    <row r="488" spans="2:12" ht="18" customHeight="1">
      <c r="B488" s="5"/>
      <c r="D488" s="5"/>
      <c r="F488" s="5"/>
      <c r="H488" s="5"/>
      <c r="J488" s="5"/>
      <c r="L488" s="5"/>
    </row>
    <row r="489" spans="2:12" ht="18" customHeight="1">
      <c r="B489" s="5"/>
      <c r="D489" s="5"/>
      <c r="F489" s="5"/>
      <c r="H489" s="5"/>
      <c r="J489" s="5"/>
      <c r="L489" s="5"/>
    </row>
    <row r="490" spans="2:12" ht="18" customHeight="1">
      <c r="B490" s="5"/>
      <c r="D490" s="5"/>
      <c r="F490" s="5"/>
      <c r="H490" s="5"/>
      <c r="J490" s="5"/>
      <c r="L490" s="5"/>
    </row>
    <row r="491" spans="2:12" ht="18" customHeight="1">
      <c r="B491" s="5"/>
      <c r="D491" s="5"/>
      <c r="F491" s="5"/>
      <c r="H491" s="5"/>
      <c r="J491" s="5"/>
      <c r="L491" s="5"/>
    </row>
    <row r="492" spans="2:12" ht="18" customHeight="1">
      <c r="B492" s="5"/>
      <c r="D492" s="5"/>
      <c r="F492" s="5"/>
      <c r="H492" s="5"/>
      <c r="J492" s="5"/>
      <c r="L492" s="5"/>
    </row>
    <row r="493" spans="2:12" ht="18" customHeight="1">
      <c r="B493" s="5"/>
      <c r="D493" s="5"/>
      <c r="F493" s="5"/>
      <c r="H493" s="5"/>
      <c r="J493" s="5"/>
      <c r="L493" s="5"/>
    </row>
    <row r="494" spans="2:12" ht="18" customHeight="1">
      <c r="B494" s="5"/>
      <c r="D494" s="5"/>
      <c r="F494" s="5"/>
      <c r="H494" s="5"/>
      <c r="J494" s="5"/>
      <c r="L494" s="5"/>
    </row>
    <row r="495" spans="2:12" ht="18" customHeight="1">
      <c r="B495" s="5"/>
      <c r="D495" s="5"/>
      <c r="F495" s="5"/>
      <c r="H495" s="5"/>
      <c r="J495" s="5"/>
      <c r="L495" s="5"/>
    </row>
    <row r="496" spans="2:12" ht="18" customHeight="1">
      <c r="B496" s="5"/>
      <c r="D496" s="5"/>
      <c r="F496" s="5"/>
      <c r="H496" s="5"/>
      <c r="J496" s="5"/>
      <c r="L496" s="5"/>
    </row>
    <row r="497" spans="2:12" ht="18" customHeight="1">
      <c r="B497" s="5"/>
      <c r="D497" s="5"/>
      <c r="F497" s="5"/>
      <c r="H497" s="5"/>
      <c r="J497" s="5"/>
      <c r="L497" s="5"/>
    </row>
    <row r="498" spans="2:12" ht="18" customHeight="1">
      <c r="B498" s="5"/>
      <c r="D498" s="5"/>
      <c r="F498" s="5"/>
      <c r="H498" s="5"/>
      <c r="J498" s="5"/>
      <c r="L498" s="5"/>
    </row>
    <row r="499" spans="2:12" ht="18" customHeight="1">
      <c r="B499" s="5"/>
      <c r="D499" s="5"/>
      <c r="F499" s="5"/>
      <c r="H499" s="5"/>
      <c r="J499" s="5"/>
      <c r="L499" s="5"/>
    </row>
    <row r="500" spans="2:12" ht="18" customHeight="1">
      <c r="B500" s="5"/>
      <c r="D500" s="5"/>
      <c r="F500" s="5"/>
      <c r="H500" s="5"/>
      <c r="J500" s="5"/>
      <c r="L500" s="5"/>
    </row>
    <row r="501" spans="2:12" ht="18" customHeight="1">
      <c r="B501" s="5"/>
      <c r="D501" s="5"/>
      <c r="F501" s="5"/>
      <c r="H501" s="5"/>
      <c r="J501" s="5"/>
      <c r="L501" s="5"/>
    </row>
    <row r="502" spans="2:12" ht="18" customHeight="1">
      <c r="B502" s="5"/>
      <c r="D502" s="5"/>
      <c r="F502" s="5"/>
      <c r="H502" s="5"/>
      <c r="J502" s="5"/>
      <c r="L502" s="5"/>
    </row>
    <row r="503" spans="2:12" ht="18" customHeight="1">
      <c r="B503" s="5"/>
      <c r="D503" s="5"/>
      <c r="F503" s="5"/>
      <c r="H503" s="5"/>
      <c r="J503" s="5"/>
      <c r="L503" s="5"/>
    </row>
    <row r="504" spans="2:12" ht="18" customHeight="1">
      <c r="B504" s="5"/>
      <c r="D504" s="5"/>
      <c r="F504" s="5"/>
      <c r="H504" s="5"/>
      <c r="J504" s="5"/>
      <c r="L504" s="5"/>
    </row>
    <row r="505" spans="2:12" ht="18" customHeight="1">
      <c r="B505" s="5"/>
      <c r="D505" s="5"/>
      <c r="F505" s="5"/>
      <c r="H505" s="5"/>
      <c r="J505" s="5"/>
      <c r="L505" s="5"/>
    </row>
    <row r="506" spans="2:12" ht="18" customHeight="1">
      <c r="B506" s="5"/>
      <c r="D506" s="5"/>
      <c r="F506" s="5"/>
      <c r="H506" s="5"/>
      <c r="J506" s="5"/>
      <c r="L506" s="5"/>
    </row>
    <row r="507" spans="2:12" ht="18" customHeight="1">
      <c r="B507" s="5"/>
      <c r="D507" s="5"/>
      <c r="F507" s="5"/>
      <c r="H507" s="5"/>
      <c r="J507" s="5"/>
      <c r="L507" s="5"/>
    </row>
    <row r="508" spans="2:12" ht="18" customHeight="1">
      <c r="B508" s="5"/>
      <c r="D508" s="5"/>
      <c r="F508" s="5"/>
      <c r="H508" s="5"/>
      <c r="J508" s="5"/>
      <c r="L508" s="5"/>
    </row>
    <row r="509" spans="2:12" ht="18" customHeight="1">
      <c r="B509" s="5"/>
      <c r="D509" s="5"/>
      <c r="F509" s="5"/>
      <c r="H509" s="5"/>
      <c r="J509" s="5"/>
      <c r="L509" s="5"/>
    </row>
    <row r="510" spans="2:12" ht="18" customHeight="1">
      <c r="B510" s="5"/>
      <c r="D510" s="5"/>
      <c r="F510" s="5"/>
      <c r="H510" s="5"/>
      <c r="J510" s="5"/>
      <c r="L510" s="5"/>
    </row>
    <row r="511" spans="2:12" ht="18" customHeight="1">
      <c r="B511" s="5"/>
      <c r="D511" s="5"/>
      <c r="F511" s="5"/>
      <c r="H511" s="5"/>
      <c r="J511" s="5"/>
      <c r="L511" s="5"/>
    </row>
    <row r="512" spans="2:12" ht="18" customHeight="1">
      <c r="B512" s="5"/>
      <c r="D512" s="5"/>
      <c r="F512" s="5"/>
      <c r="H512" s="5"/>
      <c r="J512" s="5"/>
      <c r="L512" s="5"/>
    </row>
    <row r="513" spans="2:12" ht="18" customHeight="1">
      <c r="B513" s="5"/>
      <c r="D513" s="5"/>
      <c r="F513" s="5"/>
      <c r="H513" s="5"/>
      <c r="J513" s="5"/>
      <c r="L513" s="5"/>
    </row>
    <row r="514" spans="2:12" ht="18" customHeight="1">
      <c r="B514" s="5"/>
      <c r="D514" s="5"/>
      <c r="F514" s="5"/>
      <c r="H514" s="5"/>
      <c r="J514" s="5"/>
      <c r="L514" s="5"/>
    </row>
    <row r="515" spans="2:12" ht="18" customHeight="1">
      <c r="B515" s="5"/>
      <c r="D515" s="5"/>
      <c r="F515" s="5"/>
      <c r="H515" s="5"/>
      <c r="J515" s="5"/>
      <c r="L515" s="5"/>
    </row>
    <row r="516" spans="2:12" ht="18" customHeight="1">
      <c r="B516" s="5"/>
      <c r="D516" s="5"/>
      <c r="F516" s="5"/>
      <c r="H516" s="5"/>
      <c r="J516" s="5"/>
      <c r="L516" s="5"/>
    </row>
    <row r="517" spans="2:12" ht="18" customHeight="1">
      <c r="B517" s="5"/>
      <c r="D517" s="5"/>
      <c r="F517" s="5"/>
      <c r="H517" s="5"/>
      <c r="J517" s="5"/>
      <c r="L517" s="5"/>
    </row>
    <row r="518" spans="2:12" ht="18" customHeight="1">
      <c r="B518" s="5"/>
      <c r="D518" s="5"/>
      <c r="F518" s="5"/>
      <c r="H518" s="5"/>
      <c r="J518" s="5"/>
      <c r="L518" s="5"/>
    </row>
    <row r="519" spans="2:12" ht="18" customHeight="1">
      <c r="B519" s="5"/>
      <c r="D519" s="5"/>
      <c r="F519" s="5"/>
      <c r="H519" s="5"/>
      <c r="J519" s="5"/>
      <c r="L519" s="5"/>
    </row>
    <row r="520" spans="2:12" ht="18" customHeight="1">
      <c r="B520" s="5"/>
      <c r="D520" s="5"/>
      <c r="F520" s="5"/>
      <c r="H520" s="5"/>
      <c r="J520" s="5"/>
      <c r="L520" s="5"/>
    </row>
    <row r="521" spans="2:12" ht="18" customHeight="1">
      <c r="B521" s="5"/>
      <c r="D521" s="5"/>
      <c r="F521" s="5"/>
      <c r="H521" s="5"/>
      <c r="J521" s="5"/>
      <c r="L521" s="5"/>
    </row>
    <row r="522" spans="2:12" ht="18" customHeight="1">
      <c r="B522" s="5"/>
      <c r="D522" s="5"/>
      <c r="F522" s="5"/>
      <c r="H522" s="5"/>
      <c r="J522" s="5"/>
      <c r="L522" s="5"/>
    </row>
    <row r="523" spans="2:12" ht="18" customHeight="1">
      <c r="B523" s="5"/>
      <c r="D523" s="5"/>
      <c r="F523" s="5"/>
      <c r="H523" s="5"/>
      <c r="J523" s="5"/>
      <c r="L523" s="5"/>
    </row>
    <row r="524" spans="2:12" ht="18" customHeight="1">
      <c r="B524" s="5"/>
      <c r="D524" s="5"/>
      <c r="F524" s="5"/>
      <c r="H524" s="5"/>
      <c r="J524" s="5"/>
      <c r="L524" s="5"/>
    </row>
    <row r="525" spans="2:12" ht="18" customHeight="1">
      <c r="B525" s="5"/>
      <c r="D525" s="5"/>
      <c r="F525" s="5"/>
      <c r="H525" s="5"/>
      <c r="J525" s="5"/>
      <c r="L525" s="5"/>
    </row>
    <row r="526" spans="2:12" ht="18" customHeight="1">
      <c r="B526" s="5"/>
      <c r="D526" s="5"/>
      <c r="F526" s="5"/>
      <c r="H526" s="5"/>
      <c r="J526" s="5"/>
      <c r="L526" s="5"/>
    </row>
    <row r="527" spans="2:12" ht="18" customHeight="1">
      <c r="B527" s="5"/>
      <c r="D527" s="5"/>
      <c r="F527" s="5"/>
      <c r="H527" s="5"/>
      <c r="J527" s="5"/>
      <c r="L527" s="5"/>
    </row>
    <row r="528" spans="2:12" ht="18" customHeight="1">
      <c r="B528" s="5"/>
      <c r="D528" s="5"/>
      <c r="F528" s="5"/>
      <c r="H528" s="5"/>
      <c r="J528" s="5"/>
      <c r="L528" s="5"/>
    </row>
    <row r="529" spans="2:12" ht="18" customHeight="1">
      <c r="B529" s="5"/>
      <c r="D529" s="5"/>
      <c r="F529" s="5"/>
      <c r="H529" s="5"/>
      <c r="J529" s="5"/>
      <c r="L529" s="5"/>
    </row>
    <row r="530" spans="2:12" ht="18" customHeight="1">
      <c r="B530" s="5"/>
      <c r="D530" s="5"/>
      <c r="F530" s="5"/>
      <c r="H530" s="5"/>
      <c r="J530" s="5"/>
      <c r="L530" s="5"/>
    </row>
    <row r="531" spans="2:12" ht="18" customHeight="1">
      <c r="B531" s="5"/>
      <c r="D531" s="5"/>
      <c r="F531" s="5"/>
      <c r="H531" s="5"/>
      <c r="J531" s="5"/>
      <c r="L531" s="5"/>
    </row>
    <row r="532" spans="2:12" ht="18" customHeight="1">
      <c r="B532" s="5"/>
      <c r="D532" s="5"/>
      <c r="F532" s="5"/>
      <c r="H532" s="5"/>
      <c r="J532" s="5"/>
      <c r="L532" s="5"/>
    </row>
    <row r="533" spans="2:12" ht="18" customHeight="1">
      <c r="B533" s="5"/>
      <c r="D533" s="5"/>
      <c r="F533" s="5"/>
      <c r="H533" s="5"/>
      <c r="J533" s="5"/>
      <c r="L533" s="5"/>
    </row>
    <row r="534" spans="2:12" ht="18" customHeight="1">
      <c r="B534" s="5"/>
      <c r="D534" s="5"/>
      <c r="F534" s="5"/>
      <c r="H534" s="5"/>
      <c r="J534" s="5"/>
      <c r="L534" s="5"/>
    </row>
    <row r="535" spans="2:12" ht="18" customHeight="1">
      <c r="B535" s="5"/>
      <c r="D535" s="5"/>
      <c r="F535" s="5"/>
      <c r="H535" s="5"/>
      <c r="J535" s="5"/>
      <c r="L535" s="5"/>
    </row>
    <row r="536" spans="2:12" ht="18" customHeight="1">
      <c r="B536" s="5"/>
      <c r="D536" s="5"/>
      <c r="F536" s="5"/>
      <c r="H536" s="5"/>
      <c r="J536" s="5"/>
      <c r="L536" s="5"/>
    </row>
    <row r="537" spans="2:12" ht="18" customHeight="1">
      <c r="B537" s="5"/>
      <c r="D537" s="5"/>
      <c r="F537" s="5"/>
      <c r="H537" s="5"/>
      <c r="J537" s="5"/>
      <c r="L537" s="5"/>
    </row>
    <row r="538" spans="2:12" ht="18" customHeight="1">
      <c r="B538" s="5"/>
      <c r="D538" s="5"/>
      <c r="F538" s="5"/>
      <c r="H538" s="5"/>
      <c r="J538" s="5"/>
      <c r="L538" s="5"/>
    </row>
    <row r="539" spans="2:12" ht="18" customHeight="1">
      <c r="B539" s="5"/>
      <c r="D539" s="5"/>
      <c r="F539" s="5"/>
      <c r="H539" s="5"/>
      <c r="J539" s="5"/>
      <c r="L539" s="5"/>
    </row>
    <row r="540" spans="2:12" ht="18" customHeight="1">
      <c r="B540" s="5"/>
      <c r="D540" s="5"/>
      <c r="F540" s="5"/>
      <c r="H540" s="5"/>
      <c r="J540" s="5"/>
      <c r="L540" s="5"/>
    </row>
    <row r="541" spans="2:12" ht="18" customHeight="1">
      <c r="B541" s="5"/>
      <c r="D541" s="5"/>
      <c r="F541" s="5"/>
      <c r="H541" s="5"/>
      <c r="J541" s="5"/>
      <c r="L541" s="5"/>
    </row>
    <row r="542" spans="2:12" ht="18" customHeight="1">
      <c r="B542" s="5"/>
      <c r="D542" s="5"/>
      <c r="F542" s="5"/>
      <c r="H542" s="5"/>
      <c r="J542" s="5"/>
      <c r="L542" s="5"/>
    </row>
    <row r="543" spans="2:12" ht="18" customHeight="1">
      <c r="B543" s="5"/>
      <c r="D543" s="5"/>
      <c r="F543" s="5"/>
      <c r="H543" s="5"/>
      <c r="J543" s="5"/>
      <c r="L543" s="5"/>
    </row>
    <row r="544" spans="2:12" ht="18" customHeight="1">
      <c r="B544" s="5"/>
      <c r="D544" s="5"/>
      <c r="F544" s="5"/>
      <c r="H544" s="5"/>
      <c r="J544" s="5"/>
      <c r="L544" s="5"/>
    </row>
    <row r="545" spans="2:12" ht="18" customHeight="1">
      <c r="B545" s="5"/>
      <c r="D545" s="5"/>
      <c r="F545" s="5"/>
      <c r="H545" s="5"/>
      <c r="J545" s="5"/>
      <c r="L545" s="5"/>
    </row>
    <row r="546" spans="2:12" ht="18" customHeight="1">
      <c r="B546" s="5"/>
      <c r="D546" s="5"/>
      <c r="F546" s="5"/>
      <c r="H546" s="5"/>
      <c r="J546" s="5"/>
      <c r="L546" s="5"/>
    </row>
    <row r="547" spans="2:12" ht="18" customHeight="1">
      <c r="B547" s="5"/>
      <c r="D547" s="5"/>
      <c r="F547" s="5"/>
      <c r="H547" s="5"/>
      <c r="J547" s="5"/>
      <c r="L547" s="5"/>
    </row>
    <row r="548" spans="2:12" ht="18" customHeight="1">
      <c r="B548" s="5"/>
      <c r="D548" s="5"/>
      <c r="F548" s="5"/>
      <c r="H548" s="5"/>
      <c r="J548" s="5"/>
      <c r="L548" s="5"/>
    </row>
    <row r="549" spans="2:12" ht="18" customHeight="1">
      <c r="B549" s="5"/>
      <c r="D549" s="5"/>
      <c r="F549" s="5"/>
      <c r="H549" s="5"/>
      <c r="J549" s="5"/>
      <c r="L549" s="5"/>
    </row>
    <row r="550" spans="2:12" ht="18" customHeight="1">
      <c r="B550" s="5"/>
      <c r="D550" s="5"/>
      <c r="F550" s="5"/>
      <c r="H550" s="5"/>
      <c r="J550" s="5"/>
      <c r="L550" s="5"/>
    </row>
    <row r="551" spans="2:12" ht="18" customHeight="1">
      <c r="B551" s="5"/>
      <c r="D551" s="5"/>
      <c r="F551" s="5"/>
      <c r="H551" s="5"/>
      <c r="J551" s="5"/>
      <c r="L551" s="5"/>
    </row>
    <row r="552" spans="2:12" ht="18" customHeight="1">
      <c r="B552" s="5"/>
      <c r="D552" s="5"/>
      <c r="F552" s="5"/>
      <c r="H552" s="5"/>
      <c r="J552" s="5"/>
      <c r="L552" s="5"/>
    </row>
    <row r="553" spans="2:12" ht="18" customHeight="1">
      <c r="B553" s="5"/>
      <c r="D553" s="5"/>
      <c r="F553" s="5"/>
      <c r="H553" s="5"/>
      <c r="J553" s="5"/>
      <c r="L553" s="5"/>
    </row>
    <row r="554" spans="2:12" ht="18" customHeight="1">
      <c r="B554" s="5"/>
      <c r="D554" s="5"/>
      <c r="F554" s="5"/>
      <c r="H554" s="5"/>
      <c r="J554" s="5"/>
      <c r="L554" s="5"/>
    </row>
    <row r="555" spans="2:12" ht="18" customHeight="1">
      <c r="B555" s="5"/>
      <c r="D555" s="5"/>
      <c r="F555" s="5"/>
      <c r="H555" s="5"/>
      <c r="J555" s="5"/>
      <c r="L555" s="5"/>
    </row>
    <row r="556" spans="2:12" ht="18" customHeight="1">
      <c r="B556" s="5"/>
      <c r="D556" s="5"/>
      <c r="F556" s="5"/>
      <c r="H556" s="5"/>
      <c r="J556" s="5"/>
      <c r="L556" s="5"/>
    </row>
    <row r="557" spans="2:12" ht="18" customHeight="1">
      <c r="B557" s="5"/>
      <c r="D557" s="5"/>
      <c r="F557" s="5"/>
      <c r="H557" s="5"/>
      <c r="J557" s="5"/>
      <c r="L557" s="5"/>
    </row>
    <row r="558" spans="2:12" ht="18" customHeight="1">
      <c r="B558" s="5"/>
      <c r="D558" s="5"/>
      <c r="F558" s="5"/>
      <c r="H558" s="5"/>
      <c r="J558" s="5"/>
      <c r="L558" s="5"/>
    </row>
    <row r="559" spans="2:12" ht="18" customHeight="1">
      <c r="B559" s="5"/>
      <c r="D559" s="5"/>
      <c r="F559" s="5"/>
      <c r="H559" s="5"/>
      <c r="J559" s="5"/>
      <c r="L559" s="5"/>
    </row>
    <row r="560" spans="2:12" ht="18" customHeight="1">
      <c r="B560" s="5"/>
      <c r="D560" s="5"/>
      <c r="F560" s="5"/>
      <c r="H560" s="5"/>
      <c r="J560" s="5"/>
      <c r="L560" s="5"/>
    </row>
    <row r="561" spans="2:12" ht="18" customHeight="1">
      <c r="B561" s="5"/>
      <c r="D561" s="5"/>
      <c r="F561" s="5"/>
      <c r="H561" s="5"/>
      <c r="J561" s="5"/>
      <c r="L561" s="5"/>
    </row>
    <row r="562" spans="2:12" ht="18" customHeight="1">
      <c r="B562" s="5"/>
      <c r="D562" s="5"/>
      <c r="F562" s="5"/>
      <c r="H562" s="5"/>
      <c r="J562" s="5"/>
      <c r="L562" s="5"/>
    </row>
    <row r="563" spans="2:12" ht="18" customHeight="1">
      <c r="B563" s="5"/>
      <c r="D563" s="5"/>
      <c r="F563" s="5"/>
      <c r="H563" s="5"/>
      <c r="J563" s="5"/>
      <c r="L563" s="5"/>
    </row>
    <row r="564" spans="2:12" ht="18" customHeight="1">
      <c r="B564" s="5"/>
      <c r="D564" s="5"/>
      <c r="F564" s="5"/>
      <c r="H564" s="5"/>
      <c r="J564" s="5"/>
      <c r="L564" s="5"/>
    </row>
    <row r="565" spans="2:12" ht="18" customHeight="1">
      <c r="B565" s="5"/>
      <c r="D565" s="5"/>
      <c r="F565" s="5"/>
      <c r="H565" s="5"/>
      <c r="J565" s="5"/>
      <c r="L565" s="5"/>
    </row>
    <row r="566" spans="2:12" ht="18" customHeight="1">
      <c r="B566" s="5"/>
      <c r="D566" s="5"/>
      <c r="F566" s="5"/>
      <c r="H566" s="5"/>
      <c r="J566" s="5"/>
      <c r="L566" s="5"/>
    </row>
    <row r="567" spans="2:12" ht="18" customHeight="1">
      <c r="B567" s="5"/>
      <c r="D567" s="5"/>
      <c r="F567" s="5"/>
      <c r="H567" s="5"/>
      <c r="J567" s="5"/>
      <c r="L567" s="5"/>
    </row>
    <row r="568" spans="2:12" ht="18" customHeight="1">
      <c r="B568" s="5"/>
      <c r="D568" s="5"/>
      <c r="F568" s="5"/>
      <c r="H568" s="5"/>
      <c r="J568" s="5"/>
      <c r="L568" s="5"/>
    </row>
    <row r="569" spans="2:12" ht="18" customHeight="1">
      <c r="B569" s="5"/>
      <c r="D569" s="5"/>
      <c r="F569" s="5"/>
      <c r="H569" s="5"/>
      <c r="J569" s="5"/>
      <c r="L569" s="5"/>
    </row>
    <row r="570" spans="2:12" ht="18" customHeight="1">
      <c r="B570" s="5"/>
      <c r="D570" s="5"/>
      <c r="F570" s="5"/>
      <c r="H570" s="5"/>
      <c r="J570" s="5"/>
      <c r="L570" s="5"/>
    </row>
    <row r="571" spans="2:12" ht="18" customHeight="1">
      <c r="B571" s="5"/>
      <c r="D571" s="5"/>
      <c r="F571" s="5"/>
      <c r="H571" s="5"/>
      <c r="J571" s="5"/>
      <c r="L571" s="5"/>
    </row>
    <row r="572" spans="2:12" ht="18" customHeight="1">
      <c r="B572" s="5"/>
      <c r="D572" s="5"/>
      <c r="F572" s="5"/>
      <c r="H572" s="5"/>
      <c r="J572" s="5"/>
      <c r="L572" s="5"/>
    </row>
    <row r="573" spans="2:12" ht="18" customHeight="1">
      <c r="B573" s="5"/>
      <c r="D573" s="5"/>
      <c r="F573" s="5"/>
      <c r="H573" s="5"/>
      <c r="J573" s="5"/>
      <c r="L573" s="5"/>
    </row>
    <row r="574" spans="2:12" ht="18" customHeight="1">
      <c r="B574" s="5"/>
      <c r="D574" s="5"/>
      <c r="F574" s="5"/>
      <c r="H574" s="5"/>
      <c r="J574" s="5"/>
      <c r="L574" s="5"/>
    </row>
    <row r="575" spans="2:12" ht="18" customHeight="1">
      <c r="B575" s="5"/>
      <c r="D575" s="5"/>
      <c r="F575" s="5"/>
      <c r="H575" s="5"/>
      <c r="J575" s="5"/>
      <c r="L575" s="5"/>
    </row>
    <row r="576" spans="2:12" ht="18" customHeight="1">
      <c r="B576" s="5"/>
      <c r="D576" s="5"/>
      <c r="F576" s="5"/>
      <c r="H576" s="5"/>
      <c r="J576" s="5"/>
      <c r="L576" s="5"/>
    </row>
    <row r="577" spans="2:12" ht="18" customHeight="1">
      <c r="B577" s="5"/>
      <c r="D577" s="5"/>
      <c r="F577" s="5"/>
      <c r="H577" s="5"/>
      <c r="J577" s="5"/>
      <c r="L577" s="5"/>
    </row>
    <row r="578" spans="2:12" ht="18" customHeight="1">
      <c r="B578" s="5"/>
      <c r="D578" s="5"/>
      <c r="F578" s="5"/>
      <c r="H578" s="5"/>
      <c r="J578" s="5"/>
      <c r="L578" s="5"/>
    </row>
    <row r="579" spans="2:12" ht="18" customHeight="1">
      <c r="B579" s="5"/>
      <c r="D579" s="5"/>
      <c r="F579" s="5"/>
      <c r="H579" s="5"/>
      <c r="J579" s="5"/>
      <c r="L579" s="5"/>
    </row>
    <row r="580" spans="2:12" ht="18" customHeight="1">
      <c r="B580" s="5"/>
      <c r="D580" s="5"/>
      <c r="F580" s="5"/>
      <c r="H580" s="5"/>
      <c r="J580" s="5"/>
      <c r="L580" s="5"/>
    </row>
    <row r="581" spans="2:12" ht="18" customHeight="1">
      <c r="B581" s="5"/>
      <c r="D581" s="5"/>
      <c r="F581" s="5"/>
      <c r="H581" s="5"/>
      <c r="J581" s="5"/>
      <c r="L581" s="5"/>
    </row>
    <row r="582" spans="2:12" ht="18" customHeight="1">
      <c r="B582" s="5"/>
      <c r="D582" s="5"/>
      <c r="F582" s="5"/>
      <c r="H582" s="5"/>
      <c r="J582" s="5"/>
      <c r="L582" s="5"/>
    </row>
    <row r="583" spans="2:12" ht="18" customHeight="1">
      <c r="B583" s="5"/>
      <c r="D583" s="5"/>
      <c r="F583" s="5"/>
      <c r="H583" s="5"/>
      <c r="J583" s="5"/>
      <c r="L583" s="5"/>
    </row>
    <row r="584" spans="2:12" ht="18" customHeight="1">
      <c r="B584" s="5"/>
      <c r="D584" s="5"/>
      <c r="F584" s="5"/>
      <c r="H584" s="5"/>
      <c r="J584" s="5"/>
      <c r="L584" s="5"/>
    </row>
    <row r="585" spans="2:12" ht="18" customHeight="1">
      <c r="B585" s="5"/>
      <c r="D585" s="5"/>
      <c r="F585" s="5"/>
      <c r="H585" s="5"/>
      <c r="J585" s="5"/>
      <c r="L585" s="5"/>
    </row>
    <row r="586" spans="2:12" ht="18" customHeight="1">
      <c r="B586" s="5"/>
      <c r="D586" s="5"/>
      <c r="F586" s="5"/>
      <c r="H586" s="5"/>
      <c r="J586" s="5"/>
      <c r="L586" s="5"/>
    </row>
    <row r="587" spans="2:12" ht="18" customHeight="1">
      <c r="B587" s="5"/>
      <c r="D587" s="5"/>
      <c r="F587" s="5"/>
      <c r="H587" s="5"/>
      <c r="J587" s="5"/>
      <c r="L587" s="5"/>
    </row>
    <row r="588" spans="2:12" ht="18" customHeight="1">
      <c r="B588" s="5"/>
      <c r="D588" s="5"/>
      <c r="F588" s="5"/>
      <c r="H588" s="5"/>
      <c r="J588" s="5"/>
      <c r="L588" s="5"/>
    </row>
    <row r="589" spans="2:12" ht="18" customHeight="1">
      <c r="B589" s="5"/>
      <c r="D589" s="5"/>
      <c r="F589" s="5"/>
      <c r="H589" s="5"/>
      <c r="J589" s="5"/>
      <c r="L589" s="5"/>
    </row>
    <row r="590" spans="2:12" ht="18" customHeight="1">
      <c r="B590" s="5"/>
      <c r="D590" s="5"/>
      <c r="F590" s="5"/>
      <c r="H590" s="5"/>
      <c r="J590" s="5"/>
      <c r="L590" s="5"/>
    </row>
    <row r="591" spans="2:12" ht="18" customHeight="1">
      <c r="B591" s="5"/>
      <c r="D591" s="5"/>
      <c r="F591" s="5"/>
      <c r="H591" s="5"/>
      <c r="J591" s="5"/>
      <c r="L591" s="5"/>
    </row>
    <row r="592" spans="2:12" ht="18" customHeight="1">
      <c r="B592" s="5"/>
      <c r="D592" s="5"/>
      <c r="F592" s="5"/>
      <c r="H592" s="5"/>
      <c r="J592" s="5"/>
      <c r="L592" s="5"/>
    </row>
    <row r="593" spans="2:12" ht="18" customHeight="1">
      <c r="B593" s="5"/>
      <c r="D593" s="5"/>
      <c r="F593" s="5"/>
      <c r="H593" s="5"/>
      <c r="J593" s="5"/>
      <c r="L593" s="5"/>
    </row>
    <row r="594" spans="2:12" ht="18" customHeight="1">
      <c r="B594" s="5"/>
      <c r="D594" s="5"/>
      <c r="F594" s="5"/>
      <c r="H594" s="5"/>
      <c r="J594" s="5"/>
      <c r="L594" s="5"/>
    </row>
    <row r="595" spans="2:12" ht="18" customHeight="1">
      <c r="B595" s="5"/>
      <c r="D595" s="5"/>
      <c r="F595" s="5"/>
      <c r="H595" s="5"/>
      <c r="J595" s="5"/>
      <c r="L595" s="5"/>
    </row>
    <row r="596" spans="2:12" ht="18" customHeight="1">
      <c r="B596" s="5"/>
      <c r="D596" s="5"/>
      <c r="F596" s="5"/>
      <c r="H596" s="5"/>
      <c r="J596" s="5"/>
      <c r="L596" s="5"/>
    </row>
    <row r="597" spans="2:12" ht="18" customHeight="1">
      <c r="B597" s="5"/>
      <c r="D597" s="5"/>
      <c r="F597" s="5"/>
      <c r="H597" s="5"/>
      <c r="J597" s="5"/>
      <c r="L597" s="5"/>
    </row>
    <row r="598" spans="2:12" ht="18" customHeight="1">
      <c r="B598" s="5"/>
      <c r="D598" s="5"/>
      <c r="F598" s="5"/>
      <c r="H598" s="5"/>
      <c r="J598" s="5"/>
      <c r="L598" s="5"/>
    </row>
    <row r="599" spans="2:12" ht="18" customHeight="1">
      <c r="B599" s="5"/>
      <c r="D599" s="5"/>
      <c r="F599" s="5"/>
      <c r="H599" s="5"/>
      <c r="J599" s="5"/>
      <c r="L599" s="5"/>
    </row>
    <row r="600" spans="2:12" ht="18" customHeight="1">
      <c r="B600" s="5"/>
      <c r="D600" s="5"/>
      <c r="F600" s="5"/>
      <c r="H600" s="5"/>
      <c r="J600" s="5"/>
      <c r="L600" s="5"/>
    </row>
    <row r="601" spans="2:12" ht="18" customHeight="1">
      <c r="B601" s="5"/>
      <c r="D601" s="5"/>
      <c r="F601" s="5"/>
      <c r="H601" s="5"/>
      <c r="J601" s="5"/>
      <c r="L601" s="5"/>
    </row>
    <row r="602" spans="2:12" ht="18" customHeight="1">
      <c r="B602" s="5"/>
      <c r="D602" s="5"/>
      <c r="F602" s="5"/>
      <c r="H602" s="5"/>
      <c r="J602" s="5"/>
      <c r="L602" s="5"/>
    </row>
    <row r="603" spans="2:12" ht="18" customHeight="1">
      <c r="B603" s="5"/>
      <c r="D603" s="5"/>
      <c r="F603" s="5"/>
      <c r="H603" s="5"/>
      <c r="J603" s="5"/>
      <c r="L603" s="5"/>
    </row>
    <row r="604" spans="2:12" ht="18" customHeight="1">
      <c r="B604" s="5"/>
      <c r="D604" s="5"/>
      <c r="F604" s="5"/>
      <c r="H604" s="5"/>
      <c r="J604" s="5"/>
      <c r="L604" s="5"/>
    </row>
    <row r="605" spans="2:12" ht="18" customHeight="1">
      <c r="B605" s="5"/>
      <c r="D605" s="5"/>
      <c r="F605" s="5"/>
      <c r="H605" s="5"/>
      <c r="J605" s="5"/>
      <c r="L605" s="5"/>
    </row>
    <row r="606" spans="2:12" ht="18" customHeight="1">
      <c r="B606" s="5"/>
      <c r="D606" s="5"/>
      <c r="F606" s="5"/>
      <c r="H606" s="5"/>
      <c r="J606" s="5"/>
      <c r="L606" s="5"/>
    </row>
    <row r="607" spans="2:12" ht="18" customHeight="1">
      <c r="B607" s="5"/>
      <c r="D607" s="5"/>
      <c r="F607" s="5"/>
      <c r="H607" s="5"/>
      <c r="J607" s="5"/>
      <c r="L607" s="5"/>
    </row>
    <row r="608" spans="2:12" ht="18" customHeight="1">
      <c r="B608" s="5"/>
      <c r="D608" s="5"/>
      <c r="F608" s="5"/>
      <c r="H608" s="5"/>
      <c r="J608" s="5"/>
      <c r="L608" s="5"/>
    </row>
    <row r="609" spans="2:12" ht="18" customHeight="1">
      <c r="B609" s="5"/>
      <c r="D609" s="5"/>
      <c r="F609" s="5"/>
      <c r="H609" s="5"/>
      <c r="J609" s="5"/>
      <c r="L609" s="5"/>
    </row>
    <row r="610" spans="2:12" ht="18" customHeight="1">
      <c r="B610" s="5"/>
      <c r="D610" s="5"/>
      <c r="F610" s="5"/>
      <c r="H610" s="5"/>
      <c r="J610" s="5"/>
      <c r="L610" s="5"/>
    </row>
    <row r="611" spans="2:12" ht="18" customHeight="1">
      <c r="B611" s="5"/>
      <c r="D611" s="5"/>
      <c r="F611" s="5"/>
      <c r="H611" s="5"/>
      <c r="J611" s="5"/>
      <c r="L611" s="5"/>
    </row>
    <row r="612" spans="2:12" ht="18" customHeight="1">
      <c r="B612" s="5"/>
      <c r="D612" s="5"/>
      <c r="F612" s="5"/>
      <c r="H612" s="5"/>
      <c r="J612" s="5"/>
      <c r="L612" s="5"/>
    </row>
    <row r="613" spans="2:12" ht="18" customHeight="1">
      <c r="B613" s="5"/>
      <c r="D613" s="5"/>
      <c r="F613" s="5"/>
      <c r="H613" s="5"/>
      <c r="J613" s="5"/>
      <c r="L613" s="5"/>
    </row>
    <row r="614" spans="2:12" ht="18" customHeight="1">
      <c r="B614" s="5"/>
      <c r="D614" s="5"/>
      <c r="F614" s="5"/>
      <c r="H614" s="5"/>
      <c r="J614" s="5"/>
      <c r="L614" s="5"/>
    </row>
    <row r="615" spans="2:12" ht="18" customHeight="1">
      <c r="B615" s="5"/>
      <c r="D615" s="5"/>
      <c r="F615" s="5"/>
      <c r="H615" s="5"/>
      <c r="J615" s="5"/>
      <c r="L615" s="5"/>
    </row>
    <row r="616" spans="2:12" ht="18" customHeight="1">
      <c r="B616" s="5"/>
      <c r="D616" s="5"/>
      <c r="F616" s="5"/>
      <c r="H616" s="5"/>
      <c r="J616" s="5"/>
      <c r="L616" s="5"/>
    </row>
    <row r="617" spans="2:12" ht="18" customHeight="1">
      <c r="B617" s="5"/>
      <c r="D617" s="5"/>
      <c r="F617" s="5"/>
      <c r="H617" s="5"/>
      <c r="J617" s="5"/>
      <c r="L617" s="5"/>
    </row>
    <row r="618" spans="2:12" ht="18" customHeight="1">
      <c r="B618" s="5"/>
      <c r="D618" s="5"/>
      <c r="F618" s="5"/>
      <c r="H618" s="5"/>
      <c r="J618" s="5"/>
      <c r="L618" s="5"/>
    </row>
    <row r="619" spans="2:12" ht="18" customHeight="1">
      <c r="B619" s="5"/>
      <c r="D619" s="5"/>
      <c r="F619" s="5"/>
      <c r="H619" s="5"/>
      <c r="J619" s="5"/>
      <c r="L619" s="5"/>
    </row>
    <row r="620" spans="2:12" ht="18" customHeight="1">
      <c r="B620" s="5"/>
      <c r="D620" s="5"/>
      <c r="F620" s="5"/>
      <c r="H620" s="5"/>
      <c r="J620" s="5"/>
      <c r="L620" s="5"/>
    </row>
    <row r="621" spans="2:12" ht="18" customHeight="1">
      <c r="B621" s="5"/>
      <c r="D621" s="5"/>
      <c r="F621" s="5"/>
      <c r="H621" s="5"/>
      <c r="J621" s="5"/>
      <c r="L621" s="5"/>
    </row>
    <row r="622" spans="2:12" ht="18" customHeight="1">
      <c r="B622" s="5"/>
      <c r="D622" s="5"/>
      <c r="F622" s="5"/>
      <c r="H622" s="5"/>
      <c r="J622" s="5"/>
      <c r="L622" s="5"/>
    </row>
    <row r="623" spans="2:12" ht="18" customHeight="1">
      <c r="B623" s="5"/>
      <c r="D623" s="5"/>
      <c r="F623" s="5"/>
      <c r="H623" s="5"/>
      <c r="J623" s="5"/>
      <c r="L623" s="5"/>
    </row>
    <row r="624" spans="2:12" ht="18" customHeight="1">
      <c r="B624" s="5"/>
      <c r="D624" s="5"/>
      <c r="F624" s="5"/>
      <c r="H624" s="5"/>
      <c r="J624" s="5"/>
      <c r="L624" s="5"/>
    </row>
    <row r="625" spans="2:12" ht="18" customHeight="1">
      <c r="B625" s="5"/>
      <c r="D625" s="5"/>
      <c r="F625" s="5"/>
      <c r="H625" s="5"/>
      <c r="J625" s="5"/>
      <c r="L625" s="5"/>
    </row>
    <row r="626" spans="2:12" ht="18" customHeight="1">
      <c r="B626" s="5"/>
      <c r="D626" s="5"/>
      <c r="F626" s="5"/>
      <c r="H626" s="5"/>
      <c r="J626" s="5"/>
      <c r="L626" s="5"/>
    </row>
    <row r="627" spans="2:12" ht="18" customHeight="1">
      <c r="B627" s="5"/>
      <c r="D627" s="5"/>
      <c r="F627" s="5"/>
      <c r="H627" s="5"/>
      <c r="J627" s="5"/>
      <c r="L627" s="5"/>
    </row>
    <row r="628" spans="2:12" ht="18" customHeight="1">
      <c r="B628" s="5"/>
      <c r="D628" s="5"/>
      <c r="F628" s="5"/>
      <c r="H628" s="5"/>
      <c r="J628" s="5"/>
      <c r="L628" s="5"/>
    </row>
    <row r="629" spans="2:12" ht="18" customHeight="1">
      <c r="B629" s="5"/>
      <c r="D629" s="5"/>
      <c r="F629" s="5"/>
      <c r="H629" s="5"/>
      <c r="J629" s="5"/>
      <c r="L629" s="5"/>
    </row>
    <row r="630" spans="2:12" ht="18" customHeight="1">
      <c r="B630" s="5"/>
      <c r="D630" s="5"/>
      <c r="F630" s="5"/>
      <c r="H630" s="5"/>
      <c r="J630" s="5"/>
      <c r="L630" s="5"/>
    </row>
    <row r="631" spans="2:12" ht="18" customHeight="1">
      <c r="B631" s="5"/>
      <c r="D631" s="5"/>
      <c r="F631" s="5"/>
      <c r="H631" s="5"/>
      <c r="J631" s="5"/>
      <c r="L631" s="5"/>
    </row>
    <row r="632" spans="2:12" ht="18" customHeight="1">
      <c r="B632" s="5"/>
      <c r="D632" s="5"/>
      <c r="F632" s="5"/>
      <c r="H632" s="5"/>
      <c r="J632" s="5"/>
      <c r="L632" s="5"/>
    </row>
    <row r="633" spans="2:12" ht="18" customHeight="1">
      <c r="B633" s="5"/>
      <c r="D633" s="5"/>
      <c r="F633" s="5"/>
      <c r="H633" s="5"/>
      <c r="J633" s="5"/>
      <c r="L633" s="5"/>
    </row>
    <row r="634" spans="2:12" ht="18" customHeight="1">
      <c r="B634" s="5"/>
      <c r="D634" s="5"/>
      <c r="F634" s="5"/>
      <c r="H634" s="5"/>
      <c r="J634" s="5"/>
      <c r="L634" s="5"/>
    </row>
    <row r="635" spans="2:12" ht="18" customHeight="1">
      <c r="B635" s="5"/>
      <c r="D635" s="5"/>
      <c r="F635" s="5"/>
      <c r="H635" s="5"/>
      <c r="J635" s="5"/>
      <c r="L635" s="5"/>
    </row>
    <row r="636" spans="2:12" ht="18" customHeight="1">
      <c r="B636" s="5"/>
      <c r="D636" s="5"/>
      <c r="F636" s="5"/>
      <c r="H636" s="5"/>
      <c r="J636" s="5"/>
      <c r="L636" s="5"/>
    </row>
    <row r="637" spans="2:12" ht="18" customHeight="1">
      <c r="B637" s="5"/>
      <c r="D637" s="5"/>
      <c r="F637" s="5"/>
      <c r="H637" s="5"/>
      <c r="J637" s="5"/>
      <c r="L637" s="5"/>
    </row>
    <row r="638" spans="2:12" ht="18" customHeight="1">
      <c r="B638" s="5"/>
      <c r="D638" s="5"/>
      <c r="F638" s="5"/>
      <c r="H638" s="5"/>
      <c r="J638" s="5"/>
      <c r="L638" s="5"/>
    </row>
    <row r="639" spans="2:12" ht="18" customHeight="1">
      <c r="B639" s="5"/>
      <c r="D639" s="5"/>
      <c r="F639" s="5"/>
      <c r="H639" s="5"/>
      <c r="J639" s="5"/>
      <c r="L639" s="5"/>
    </row>
    <row r="640" spans="2:12" ht="18" customHeight="1">
      <c r="B640" s="5"/>
      <c r="D640" s="5"/>
      <c r="F640" s="5"/>
      <c r="H640" s="5"/>
      <c r="J640" s="5"/>
      <c r="L640" s="5"/>
    </row>
    <row r="641" spans="2:12" ht="18" customHeight="1">
      <c r="B641" s="5"/>
      <c r="D641" s="5"/>
      <c r="F641" s="5"/>
      <c r="H641" s="5"/>
      <c r="J641" s="5"/>
      <c r="L641" s="5"/>
    </row>
    <row r="642" spans="2:12" ht="18" customHeight="1">
      <c r="B642" s="5"/>
      <c r="D642" s="5"/>
      <c r="F642" s="5"/>
      <c r="H642" s="5"/>
      <c r="J642" s="5"/>
      <c r="L642" s="5"/>
    </row>
    <row r="643" spans="2:12" ht="18" customHeight="1">
      <c r="B643" s="5"/>
      <c r="D643" s="5"/>
      <c r="F643" s="5"/>
      <c r="H643" s="5"/>
      <c r="J643" s="5"/>
      <c r="L643" s="5"/>
    </row>
    <row r="644" spans="2:12" ht="18" customHeight="1">
      <c r="B644" s="5"/>
      <c r="D644" s="5"/>
      <c r="F644" s="5"/>
      <c r="H644" s="5"/>
      <c r="J644" s="5"/>
      <c r="L644" s="5"/>
    </row>
    <row r="645" spans="2:12" ht="18" customHeight="1">
      <c r="B645" s="5"/>
      <c r="D645" s="5"/>
      <c r="F645" s="5"/>
      <c r="H645" s="5"/>
      <c r="J645" s="5"/>
      <c r="L645" s="5"/>
    </row>
    <row r="646" spans="2:12" ht="18" customHeight="1">
      <c r="B646" s="5"/>
      <c r="D646" s="5"/>
      <c r="F646" s="5"/>
      <c r="H646" s="5"/>
      <c r="J646" s="5"/>
      <c r="L646" s="5"/>
    </row>
    <row r="647" spans="2:12" ht="18" customHeight="1">
      <c r="B647" s="5"/>
      <c r="D647" s="5"/>
      <c r="F647" s="5"/>
      <c r="H647" s="5"/>
      <c r="J647" s="5"/>
      <c r="L647" s="5"/>
    </row>
    <row r="648" spans="2:12" ht="18" customHeight="1">
      <c r="B648" s="5"/>
      <c r="D648" s="5"/>
      <c r="F648" s="5"/>
      <c r="H648" s="5"/>
      <c r="J648" s="5"/>
      <c r="L648" s="5"/>
    </row>
    <row r="649" spans="2:12" ht="18" customHeight="1">
      <c r="B649" s="5"/>
      <c r="D649" s="5"/>
      <c r="F649" s="5"/>
      <c r="H649" s="5"/>
      <c r="J649" s="5"/>
      <c r="L649" s="5"/>
    </row>
    <row r="650" spans="2:12" ht="18" customHeight="1">
      <c r="B650" s="5"/>
      <c r="D650" s="5"/>
      <c r="F650" s="5"/>
      <c r="H650" s="5"/>
      <c r="J650" s="5"/>
      <c r="L650" s="5"/>
    </row>
    <row r="651" spans="2:12" ht="18" customHeight="1">
      <c r="B651" s="5"/>
      <c r="D651" s="5"/>
      <c r="F651" s="5"/>
      <c r="H651" s="5"/>
      <c r="J651" s="5"/>
      <c r="L651" s="5"/>
    </row>
    <row r="652" spans="2:12" ht="18" customHeight="1">
      <c r="B652" s="5"/>
      <c r="D652" s="5"/>
      <c r="F652" s="5"/>
      <c r="H652" s="5"/>
      <c r="J652" s="5"/>
      <c r="L652" s="5"/>
    </row>
    <row r="653" spans="2:12" ht="18" customHeight="1">
      <c r="B653" s="5"/>
      <c r="D653" s="5"/>
      <c r="F653" s="5"/>
      <c r="H653" s="5"/>
      <c r="J653" s="5"/>
      <c r="L653" s="5"/>
    </row>
    <row r="654" spans="2:12" ht="18" customHeight="1">
      <c r="B654" s="5"/>
      <c r="D654" s="5"/>
      <c r="F654" s="5"/>
      <c r="H654" s="5"/>
      <c r="J654" s="5"/>
      <c r="L654" s="5"/>
    </row>
    <row r="655" spans="2:12" ht="18" customHeight="1">
      <c r="B655" s="5"/>
      <c r="D655" s="5"/>
      <c r="F655" s="5"/>
      <c r="H655" s="5"/>
      <c r="J655" s="5"/>
      <c r="L655" s="5"/>
    </row>
    <row r="656" spans="2:12" ht="18" customHeight="1">
      <c r="B656" s="5"/>
      <c r="D656" s="5"/>
      <c r="F656" s="5"/>
      <c r="H656" s="5"/>
      <c r="J656" s="5"/>
      <c r="L656" s="5"/>
    </row>
    <row r="657" spans="2:12" ht="18" customHeight="1">
      <c r="B657" s="5"/>
      <c r="D657" s="5"/>
      <c r="F657" s="5"/>
      <c r="H657" s="5"/>
      <c r="J657" s="5"/>
      <c r="L657" s="5"/>
    </row>
    <row r="658" spans="2:12" ht="18" customHeight="1">
      <c r="B658" s="5"/>
      <c r="D658" s="5"/>
      <c r="F658" s="5"/>
      <c r="H658" s="5"/>
      <c r="J658" s="5"/>
      <c r="L658" s="5"/>
    </row>
    <row r="659" spans="2:12" ht="18" customHeight="1">
      <c r="B659" s="5"/>
      <c r="D659" s="5"/>
      <c r="F659" s="5"/>
      <c r="H659" s="5"/>
      <c r="J659" s="5"/>
      <c r="L659" s="5"/>
    </row>
    <row r="660" spans="2:12" ht="18" customHeight="1">
      <c r="B660" s="5"/>
      <c r="D660" s="5"/>
      <c r="F660" s="5"/>
      <c r="H660" s="5"/>
      <c r="J660" s="5"/>
      <c r="L660" s="5"/>
    </row>
    <row r="661" spans="2:12" ht="18" customHeight="1">
      <c r="B661" s="5"/>
      <c r="D661" s="5"/>
      <c r="F661" s="5"/>
      <c r="H661" s="5"/>
      <c r="J661" s="5"/>
      <c r="L661" s="5"/>
    </row>
    <row r="662" spans="2:12" ht="18" customHeight="1">
      <c r="B662" s="5"/>
      <c r="D662" s="5"/>
      <c r="F662" s="5"/>
      <c r="H662" s="5"/>
      <c r="J662" s="5"/>
      <c r="L662" s="5"/>
    </row>
    <row r="663" spans="2:12" ht="18" customHeight="1">
      <c r="B663" s="5"/>
      <c r="D663" s="5"/>
      <c r="F663" s="5"/>
      <c r="H663" s="5"/>
      <c r="J663" s="5"/>
      <c r="L663" s="5"/>
    </row>
    <row r="664" spans="2:12" ht="18" customHeight="1">
      <c r="B664" s="5"/>
      <c r="D664" s="5"/>
      <c r="F664" s="5"/>
      <c r="H664" s="5"/>
      <c r="J664" s="5"/>
      <c r="L664" s="5"/>
    </row>
    <row r="665" spans="2:12" ht="18" customHeight="1">
      <c r="B665" s="5"/>
      <c r="D665" s="5"/>
      <c r="F665" s="5"/>
      <c r="H665" s="5"/>
      <c r="J665" s="5"/>
      <c r="L665" s="5"/>
    </row>
    <row r="666" spans="2:12" ht="18" customHeight="1">
      <c r="B666" s="5"/>
      <c r="D666" s="5"/>
      <c r="F666" s="5"/>
      <c r="H666" s="5"/>
      <c r="J666" s="5"/>
      <c r="L666" s="5"/>
    </row>
    <row r="667" spans="2:12" ht="18" customHeight="1">
      <c r="B667" s="5"/>
      <c r="D667" s="5"/>
      <c r="F667" s="5"/>
      <c r="H667" s="5"/>
      <c r="J667" s="5"/>
      <c r="L667" s="5"/>
    </row>
    <row r="668" spans="2:12" ht="18" customHeight="1">
      <c r="B668" s="5"/>
      <c r="D668" s="5"/>
      <c r="F668" s="5"/>
      <c r="H668" s="5"/>
      <c r="J668" s="5"/>
      <c r="L668" s="5"/>
    </row>
    <row r="669" spans="2:12" ht="18" customHeight="1">
      <c r="B669" s="5"/>
      <c r="D669" s="5"/>
      <c r="F669" s="5"/>
      <c r="H669" s="5"/>
      <c r="J669" s="5"/>
      <c r="L669" s="5"/>
    </row>
    <row r="670" spans="2:12" ht="18" customHeight="1">
      <c r="B670" s="5"/>
      <c r="D670" s="5"/>
      <c r="F670" s="5"/>
      <c r="H670" s="5"/>
      <c r="J670" s="5"/>
      <c r="L670" s="5"/>
    </row>
    <row r="671" spans="2:12" ht="18" customHeight="1">
      <c r="B671" s="5"/>
      <c r="D671" s="5"/>
      <c r="F671" s="5"/>
      <c r="H671" s="5"/>
      <c r="J671" s="5"/>
      <c r="L671" s="5"/>
    </row>
    <row r="672" spans="2:12" ht="18" customHeight="1">
      <c r="B672" s="5"/>
      <c r="D672" s="5"/>
      <c r="F672" s="5"/>
      <c r="H672" s="5"/>
      <c r="J672" s="5"/>
      <c r="L672" s="5"/>
    </row>
    <row r="673" spans="2:12" ht="18" customHeight="1">
      <c r="B673" s="5"/>
      <c r="D673" s="5"/>
      <c r="F673" s="5"/>
      <c r="H673" s="5"/>
      <c r="J673" s="5"/>
      <c r="L673" s="5"/>
    </row>
    <row r="674" spans="2:12" ht="18" customHeight="1">
      <c r="B674" s="5"/>
      <c r="D674" s="5"/>
      <c r="F674" s="5"/>
      <c r="H674" s="5"/>
      <c r="J674" s="5"/>
      <c r="L674" s="5"/>
    </row>
    <row r="675" spans="2:12" ht="18" customHeight="1">
      <c r="B675" s="5"/>
      <c r="D675" s="5"/>
      <c r="F675" s="5"/>
      <c r="H675" s="5"/>
      <c r="J675" s="5"/>
      <c r="L675" s="5"/>
    </row>
    <row r="676" spans="2:12" ht="18" customHeight="1">
      <c r="B676" s="5"/>
      <c r="D676" s="5"/>
      <c r="F676" s="5"/>
      <c r="H676" s="5"/>
      <c r="J676" s="5"/>
      <c r="L676" s="5"/>
    </row>
    <row r="677" spans="2:12" ht="18" customHeight="1">
      <c r="B677" s="5"/>
      <c r="D677" s="5"/>
      <c r="F677" s="5"/>
      <c r="H677" s="5"/>
      <c r="J677" s="5"/>
      <c r="L677" s="5"/>
    </row>
    <row r="678" spans="2:12" ht="18" customHeight="1">
      <c r="B678" s="5"/>
      <c r="D678" s="5"/>
      <c r="F678" s="5"/>
      <c r="H678" s="5"/>
      <c r="J678" s="5"/>
      <c r="L678" s="5"/>
    </row>
    <row r="679" spans="2:12" ht="18" customHeight="1">
      <c r="B679" s="5"/>
      <c r="D679" s="5"/>
      <c r="F679" s="5"/>
      <c r="H679" s="5"/>
      <c r="J679" s="5"/>
      <c r="L679" s="5"/>
    </row>
    <row r="680" spans="2:12" ht="18" customHeight="1">
      <c r="B680" s="5"/>
      <c r="D680" s="5"/>
      <c r="F680" s="5"/>
      <c r="H680" s="5"/>
      <c r="J680" s="5"/>
      <c r="L680" s="5"/>
    </row>
    <row r="681" spans="2:12" ht="18" customHeight="1">
      <c r="B681" s="5"/>
      <c r="D681" s="5"/>
      <c r="F681" s="5"/>
      <c r="H681" s="5"/>
      <c r="J681" s="5"/>
      <c r="L681" s="5"/>
    </row>
    <row r="682" spans="2:12" ht="18" customHeight="1">
      <c r="B682" s="5"/>
      <c r="D682" s="5"/>
      <c r="F682" s="5"/>
      <c r="H682" s="5"/>
      <c r="J682" s="5"/>
      <c r="L682" s="5"/>
    </row>
    <row r="683" spans="2:12" ht="18" customHeight="1">
      <c r="B683" s="5"/>
      <c r="D683" s="5"/>
      <c r="F683" s="5"/>
      <c r="H683" s="5"/>
      <c r="J683" s="5"/>
      <c r="L683" s="5"/>
    </row>
    <row r="684" spans="2:12" ht="18" customHeight="1">
      <c r="B684" s="5"/>
      <c r="D684" s="5"/>
      <c r="F684" s="5"/>
      <c r="H684" s="5"/>
      <c r="J684" s="5"/>
      <c r="L684" s="5"/>
    </row>
    <row r="685" spans="2:12" ht="18" customHeight="1">
      <c r="B685" s="5"/>
      <c r="D685" s="5"/>
      <c r="F685" s="5"/>
      <c r="H685" s="5"/>
      <c r="J685" s="5"/>
      <c r="L685" s="5"/>
    </row>
    <row r="686" spans="2:12" ht="18" customHeight="1">
      <c r="B686" s="5"/>
      <c r="D686" s="5"/>
      <c r="F686" s="5"/>
      <c r="H686" s="5"/>
      <c r="J686" s="5"/>
      <c r="L686" s="5"/>
    </row>
    <row r="687" spans="2:12" ht="18" customHeight="1">
      <c r="B687" s="5"/>
      <c r="D687" s="5"/>
      <c r="F687" s="5"/>
      <c r="H687" s="5"/>
      <c r="J687" s="5"/>
      <c r="L687" s="5"/>
    </row>
    <row r="688" spans="2:12" ht="18" customHeight="1">
      <c r="B688" s="5"/>
      <c r="D688" s="5"/>
      <c r="F688" s="5"/>
      <c r="H688" s="5"/>
      <c r="J688" s="5"/>
      <c r="L688" s="5"/>
    </row>
    <row r="689" spans="2:12" ht="18" customHeight="1">
      <c r="B689" s="5"/>
      <c r="D689" s="5"/>
      <c r="F689" s="5"/>
      <c r="H689" s="5"/>
      <c r="J689" s="5"/>
      <c r="L689" s="5"/>
    </row>
    <row r="690" spans="2:12" ht="18" customHeight="1">
      <c r="B690" s="5"/>
      <c r="D690" s="5"/>
      <c r="F690" s="5"/>
      <c r="H690" s="5"/>
      <c r="J690" s="5"/>
      <c r="L690" s="5"/>
    </row>
    <row r="691" spans="2:12" ht="18" customHeight="1">
      <c r="B691" s="5"/>
      <c r="D691" s="5"/>
      <c r="F691" s="5"/>
      <c r="H691" s="5"/>
      <c r="J691" s="5"/>
      <c r="L691" s="5"/>
    </row>
    <row r="692" spans="2:12" ht="18" customHeight="1">
      <c r="B692" s="5"/>
      <c r="D692" s="5"/>
      <c r="F692" s="5"/>
      <c r="H692" s="5"/>
      <c r="J692" s="5"/>
      <c r="L692" s="5"/>
    </row>
    <row r="693" spans="2:12" ht="18" customHeight="1">
      <c r="B693" s="5"/>
      <c r="D693" s="5"/>
      <c r="F693" s="5"/>
      <c r="H693" s="5"/>
      <c r="J693" s="5"/>
      <c r="L693" s="5"/>
    </row>
    <row r="694" spans="2:12" ht="18" customHeight="1">
      <c r="B694" s="5"/>
      <c r="D694" s="5"/>
      <c r="F694" s="5"/>
      <c r="H694" s="5"/>
      <c r="J694" s="5"/>
      <c r="L694" s="5"/>
    </row>
    <row r="695" spans="2:12" ht="18" customHeight="1">
      <c r="B695" s="5"/>
      <c r="D695" s="5"/>
      <c r="F695" s="5"/>
      <c r="H695" s="5"/>
      <c r="J695" s="5"/>
      <c r="L695" s="5"/>
    </row>
    <row r="696" spans="2:12" ht="18" customHeight="1">
      <c r="B696" s="5"/>
      <c r="D696" s="5"/>
      <c r="F696" s="5"/>
      <c r="H696" s="5"/>
      <c r="J696" s="5"/>
      <c r="L696" s="5"/>
    </row>
    <row r="697" spans="2:12" ht="18" customHeight="1">
      <c r="B697" s="5"/>
      <c r="D697" s="5"/>
      <c r="F697" s="5"/>
      <c r="H697" s="5"/>
      <c r="J697" s="5"/>
      <c r="L697" s="5"/>
    </row>
    <row r="698" spans="2:12" ht="18" customHeight="1">
      <c r="B698" s="5"/>
      <c r="D698" s="5"/>
      <c r="F698" s="5"/>
      <c r="H698" s="5"/>
      <c r="J698" s="5"/>
      <c r="L698" s="5"/>
    </row>
    <row r="699" spans="2:12" ht="18" customHeight="1">
      <c r="B699" s="5"/>
      <c r="D699" s="5"/>
      <c r="F699" s="5"/>
      <c r="H699" s="5"/>
      <c r="J699" s="5"/>
      <c r="L699" s="5"/>
    </row>
    <row r="700" spans="2:12" ht="18" customHeight="1">
      <c r="B700" s="5"/>
      <c r="D700" s="5"/>
      <c r="F700" s="5"/>
      <c r="H700" s="5"/>
      <c r="J700" s="5"/>
      <c r="L700" s="5"/>
    </row>
    <row r="701" spans="2:12" ht="18" customHeight="1">
      <c r="B701" s="5"/>
      <c r="D701" s="5"/>
      <c r="F701" s="5"/>
      <c r="H701" s="5"/>
      <c r="J701" s="5"/>
      <c r="L701" s="5"/>
    </row>
    <row r="702" spans="2:12" ht="18" customHeight="1">
      <c r="B702" s="5"/>
      <c r="D702" s="5"/>
      <c r="F702" s="5"/>
      <c r="H702" s="5"/>
      <c r="J702" s="5"/>
      <c r="L702" s="5"/>
    </row>
    <row r="703" spans="2:12" ht="18" customHeight="1">
      <c r="B703" s="5"/>
      <c r="D703" s="5"/>
      <c r="F703" s="5"/>
      <c r="H703" s="5"/>
      <c r="J703" s="5"/>
      <c r="L703" s="5"/>
    </row>
    <row r="704" spans="2:12" ht="18" customHeight="1">
      <c r="B704" s="5"/>
      <c r="D704" s="5"/>
      <c r="F704" s="5"/>
      <c r="H704" s="5"/>
      <c r="J704" s="5"/>
      <c r="L704" s="5"/>
    </row>
    <row r="705" spans="2:12" ht="18" customHeight="1">
      <c r="B705" s="5"/>
      <c r="D705" s="5"/>
      <c r="F705" s="5"/>
      <c r="H705" s="5"/>
      <c r="J705" s="5"/>
      <c r="L705" s="5"/>
    </row>
    <row r="706" spans="2:12" ht="18" customHeight="1">
      <c r="B706" s="5"/>
      <c r="D706" s="5"/>
      <c r="F706" s="5"/>
      <c r="H706" s="5"/>
      <c r="J706" s="5"/>
      <c r="L706" s="5"/>
    </row>
    <row r="707" spans="2:12" ht="18" customHeight="1">
      <c r="B707" s="5"/>
      <c r="D707" s="5"/>
      <c r="F707" s="5"/>
      <c r="H707" s="5"/>
      <c r="J707" s="5"/>
      <c r="L707" s="5"/>
    </row>
    <row r="708" spans="2:12" ht="18" customHeight="1">
      <c r="B708" s="5"/>
      <c r="D708" s="5"/>
      <c r="F708" s="5"/>
      <c r="H708" s="5"/>
      <c r="J708" s="5"/>
      <c r="L708" s="5"/>
    </row>
    <row r="709" spans="2:12" ht="18" customHeight="1">
      <c r="B709" s="5"/>
      <c r="D709" s="5"/>
      <c r="F709" s="5"/>
      <c r="H709" s="5"/>
      <c r="J709" s="5"/>
      <c r="L709" s="5"/>
    </row>
    <row r="710" spans="2:12" ht="18" customHeight="1">
      <c r="B710" s="5"/>
      <c r="D710" s="5"/>
      <c r="F710" s="5"/>
      <c r="H710" s="5"/>
      <c r="J710" s="5"/>
      <c r="L710" s="5"/>
    </row>
    <row r="711" spans="2:12" ht="18" customHeight="1">
      <c r="B711" s="5"/>
      <c r="D711" s="5"/>
      <c r="F711" s="5"/>
      <c r="H711" s="5"/>
      <c r="J711" s="5"/>
      <c r="L711" s="5"/>
    </row>
    <row r="712" spans="2:12" ht="18" customHeight="1">
      <c r="B712" s="5"/>
      <c r="D712" s="5"/>
      <c r="F712" s="5"/>
      <c r="H712" s="5"/>
      <c r="J712" s="5"/>
      <c r="L712" s="5"/>
    </row>
    <row r="713" spans="2:12" ht="18" customHeight="1">
      <c r="B713" s="5"/>
      <c r="D713" s="5"/>
      <c r="F713" s="5"/>
      <c r="H713" s="5"/>
      <c r="J713" s="5"/>
      <c r="L713" s="5"/>
    </row>
    <row r="714" spans="2:12" ht="18" customHeight="1">
      <c r="B714" s="5"/>
      <c r="D714" s="5"/>
      <c r="F714" s="5"/>
      <c r="H714" s="5"/>
      <c r="J714" s="5"/>
      <c r="L714" s="5"/>
    </row>
    <row r="715" spans="2:12" ht="18" customHeight="1">
      <c r="B715" s="5"/>
      <c r="D715" s="5"/>
      <c r="F715" s="5"/>
      <c r="H715" s="5"/>
      <c r="J715" s="5"/>
      <c r="L715" s="5"/>
    </row>
    <row r="716" spans="2:12" ht="18" customHeight="1">
      <c r="B716" s="5"/>
      <c r="D716" s="5"/>
      <c r="F716" s="5"/>
      <c r="H716" s="5"/>
      <c r="J716" s="5"/>
      <c r="L716" s="5"/>
    </row>
    <row r="717" spans="2:12" ht="18" customHeight="1">
      <c r="B717" s="5"/>
      <c r="D717" s="5"/>
      <c r="F717" s="5"/>
      <c r="H717" s="5"/>
      <c r="J717" s="5"/>
      <c r="L717" s="5"/>
    </row>
    <row r="718" spans="2:12" ht="18" customHeight="1">
      <c r="B718" s="5"/>
      <c r="D718" s="5"/>
      <c r="F718" s="5"/>
      <c r="H718" s="5"/>
      <c r="J718" s="5"/>
      <c r="L718" s="5"/>
    </row>
    <row r="719" spans="2:12" ht="18" customHeight="1">
      <c r="B719" s="5"/>
      <c r="D719" s="5"/>
      <c r="F719" s="5"/>
      <c r="H719" s="5"/>
      <c r="J719" s="5"/>
      <c r="L719" s="5"/>
    </row>
    <row r="720" spans="2:12" ht="18" customHeight="1">
      <c r="B720" s="5"/>
      <c r="D720" s="5"/>
      <c r="F720" s="5"/>
      <c r="H720" s="5"/>
      <c r="J720" s="5"/>
      <c r="L720" s="5"/>
    </row>
    <row r="721" spans="2:12" ht="18" customHeight="1">
      <c r="B721" s="5"/>
      <c r="D721" s="5"/>
      <c r="F721" s="5"/>
      <c r="H721" s="5"/>
      <c r="J721" s="5"/>
      <c r="L721" s="5"/>
    </row>
    <row r="722" spans="2:12" ht="18" customHeight="1">
      <c r="B722" s="5"/>
      <c r="D722" s="5"/>
      <c r="F722" s="5"/>
      <c r="H722" s="5"/>
      <c r="J722" s="5"/>
      <c r="L722" s="5"/>
    </row>
    <row r="723" spans="2:12" ht="18" customHeight="1">
      <c r="B723" s="5"/>
      <c r="D723" s="5"/>
      <c r="F723" s="5"/>
      <c r="H723" s="5"/>
      <c r="J723" s="5"/>
      <c r="L723" s="5"/>
    </row>
    <row r="724" spans="2:12" ht="18" customHeight="1">
      <c r="B724" s="5"/>
      <c r="D724" s="5"/>
      <c r="F724" s="5"/>
      <c r="H724" s="5"/>
      <c r="J724" s="5"/>
      <c r="L724" s="5"/>
    </row>
    <row r="725" spans="2:12" ht="18" customHeight="1">
      <c r="B725" s="5"/>
      <c r="D725" s="5"/>
      <c r="F725" s="5"/>
      <c r="H725" s="5"/>
      <c r="J725" s="5"/>
      <c r="L725" s="5"/>
    </row>
    <row r="726" spans="2:12" ht="18" customHeight="1">
      <c r="B726" s="5"/>
      <c r="D726" s="5"/>
      <c r="F726" s="5"/>
      <c r="H726" s="5"/>
      <c r="J726" s="5"/>
      <c r="L726" s="5"/>
    </row>
    <row r="727" spans="2:12" ht="18" customHeight="1">
      <c r="B727" s="5"/>
      <c r="D727" s="5"/>
      <c r="F727" s="5"/>
      <c r="H727" s="5"/>
      <c r="J727" s="5"/>
      <c r="L727" s="5"/>
    </row>
    <row r="728" spans="2:12" ht="18" customHeight="1">
      <c r="B728" s="5"/>
      <c r="D728" s="5"/>
      <c r="F728" s="5"/>
      <c r="H728" s="5"/>
      <c r="J728" s="5"/>
      <c r="L728" s="5"/>
    </row>
    <row r="729" spans="2:12" ht="18" customHeight="1">
      <c r="B729" s="5"/>
      <c r="D729" s="5"/>
      <c r="F729" s="5"/>
      <c r="H729" s="5"/>
      <c r="J729" s="5"/>
      <c r="L729" s="5"/>
    </row>
    <row r="730" spans="2:12" ht="18" customHeight="1">
      <c r="B730" s="5"/>
      <c r="D730" s="5"/>
      <c r="F730" s="5"/>
      <c r="H730" s="5"/>
      <c r="J730" s="5"/>
      <c r="L730" s="5"/>
    </row>
    <row r="731" spans="2:12" ht="18" customHeight="1">
      <c r="B731" s="5"/>
      <c r="D731" s="5"/>
      <c r="F731" s="5"/>
      <c r="H731" s="5"/>
      <c r="J731" s="5"/>
      <c r="L731" s="5"/>
    </row>
    <row r="732" spans="2:12" ht="18" customHeight="1">
      <c r="B732" s="5"/>
      <c r="D732" s="5"/>
      <c r="F732" s="5"/>
      <c r="H732" s="5"/>
      <c r="J732" s="5"/>
      <c r="L732" s="5"/>
    </row>
    <row r="733" spans="2:12" ht="18" customHeight="1">
      <c r="B733" s="5"/>
      <c r="D733" s="5"/>
      <c r="F733" s="5"/>
      <c r="H733" s="5"/>
      <c r="J733" s="5"/>
      <c r="L733" s="5"/>
    </row>
    <row r="734" spans="2:12" ht="18" customHeight="1">
      <c r="B734" s="5"/>
      <c r="D734" s="5"/>
      <c r="F734" s="5"/>
      <c r="H734" s="5"/>
      <c r="J734" s="5"/>
      <c r="L734" s="5"/>
    </row>
    <row r="735" spans="2:12" ht="18" customHeight="1">
      <c r="B735" s="5"/>
      <c r="D735" s="5"/>
      <c r="F735" s="5"/>
      <c r="H735" s="5"/>
      <c r="J735" s="5"/>
      <c r="L735" s="5"/>
    </row>
    <row r="736" spans="2:12" ht="18" customHeight="1">
      <c r="B736" s="5"/>
      <c r="D736" s="5"/>
      <c r="F736" s="5"/>
      <c r="H736" s="5"/>
      <c r="J736" s="5"/>
      <c r="L736" s="5"/>
    </row>
    <row r="737" spans="2:12" ht="18" customHeight="1">
      <c r="B737" s="5"/>
      <c r="D737" s="5"/>
      <c r="F737" s="5"/>
      <c r="H737" s="5"/>
      <c r="J737" s="5"/>
      <c r="L737" s="5"/>
    </row>
    <row r="738" spans="2:12" ht="18" customHeight="1">
      <c r="B738" s="5"/>
      <c r="D738" s="5"/>
      <c r="F738" s="5"/>
      <c r="H738" s="5"/>
      <c r="J738" s="5"/>
      <c r="L738" s="5"/>
    </row>
    <row r="739" spans="2:12" ht="18" customHeight="1">
      <c r="B739" s="5"/>
      <c r="D739" s="5"/>
      <c r="F739" s="5"/>
      <c r="H739" s="5"/>
      <c r="J739" s="5"/>
      <c r="L739" s="5"/>
    </row>
    <row r="740" spans="2:12" ht="18" customHeight="1">
      <c r="B740" s="5"/>
      <c r="D740" s="5"/>
      <c r="F740" s="5"/>
      <c r="H740" s="5"/>
      <c r="J740" s="5"/>
      <c r="L740" s="5"/>
    </row>
    <row r="741" spans="2:12" ht="18" customHeight="1">
      <c r="B741" s="5"/>
      <c r="D741" s="5"/>
      <c r="F741" s="5"/>
      <c r="H741" s="5"/>
      <c r="J741" s="5"/>
      <c r="L741" s="5"/>
    </row>
    <row r="742" spans="2:12" ht="18" customHeight="1">
      <c r="B742" s="5"/>
      <c r="D742" s="5"/>
      <c r="F742" s="5"/>
      <c r="H742" s="5"/>
      <c r="J742" s="5"/>
      <c r="L742" s="5"/>
    </row>
    <row r="743" spans="2:12" ht="18" customHeight="1">
      <c r="B743" s="5"/>
      <c r="D743" s="5"/>
      <c r="F743" s="5"/>
      <c r="H743" s="5"/>
      <c r="J743" s="5"/>
      <c r="L743" s="5"/>
    </row>
    <row r="744" spans="2:12" ht="18" customHeight="1">
      <c r="B744" s="5"/>
      <c r="D744" s="5"/>
      <c r="F744" s="5"/>
      <c r="H744" s="5"/>
      <c r="J744" s="5"/>
      <c r="L744" s="5"/>
    </row>
    <row r="745" spans="2:12" ht="18" customHeight="1">
      <c r="B745" s="5"/>
      <c r="D745" s="5"/>
      <c r="F745" s="5"/>
      <c r="H745" s="5"/>
      <c r="J745" s="5"/>
      <c r="L745" s="5"/>
    </row>
    <row r="746" spans="2:12" ht="18" customHeight="1">
      <c r="B746" s="5"/>
      <c r="D746" s="5"/>
      <c r="F746" s="5"/>
      <c r="H746" s="5"/>
      <c r="J746" s="5"/>
      <c r="L746" s="5"/>
    </row>
    <row r="747" spans="2:12" ht="18" customHeight="1">
      <c r="B747" s="5"/>
      <c r="D747" s="5"/>
      <c r="F747" s="5"/>
      <c r="H747" s="5"/>
      <c r="J747" s="5"/>
      <c r="L747" s="5"/>
    </row>
    <row r="748" spans="2:12" ht="18" customHeight="1">
      <c r="B748" s="5"/>
      <c r="D748" s="5"/>
      <c r="F748" s="5"/>
      <c r="H748" s="5"/>
      <c r="J748" s="5"/>
      <c r="L748" s="5"/>
    </row>
    <row r="749" spans="2:12" ht="18" customHeight="1">
      <c r="B749" s="5"/>
      <c r="D749" s="5"/>
      <c r="F749" s="5"/>
      <c r="H749" s="5"/>
      <c r="J749" s="5"/>
      <c r="L749" s="5"/>
    </row>
    <row r="750" spans="2:12" ht="18" customHeight="1">
      <c r="B750" s="5"/>
      <c r="D750" s="5"/>
      <c r="F750" s="5"/>
      <c r="H750" s="5"/>
      <c r="J750" s="5"/>
      <c r="L750" s="5"/>
    </row>
    <row r="751" spans="2:12" ht="18" customHeight="1">
      <c r="B751" s="5"/>
      <c r="D751" s="5"/>
      <c r="F751" s="5"/>
      <c r="H751" s="5"/>
      <c r="J751" s="5"/>
      <c r="L751" s="5"/>
    </row>
    <row r="752" spans="2:12" ht="18" customHeight="1">
      <c r="B752" s="5"/>
      <c r="D752" s="5"/>
      <c r="F752" s="5"/>
      <c r="H752" s="5"/>
      <c r="J752" s="5"/>
      <c r="L752" s="5"/>
    </row>
    <row r="753" spans="2:12" ht="18" customHeight="1">
      <c r="B753" s="5"/>
      <c r="D753" s="5"/>
      <c r="F753" s="5"/>
      <c r="H753" s="5"/>
      <c r="J753" s="5"/>
      <c r="L753" s="5"/>
    </row>
    <row r="754" spans="2:12" ht="18" customHeight="1">
      <c r="B754" s="5"/>
      <c r="D754" s="5"/>
      <c r="F754" s="5"/>
      <c r="H754" s="5"/>
      <c r="J754" s="5"/>
      <c r="L754" s="5"/>
    </row>
    <row r="755" spans="2:12" ht="18" customHeight="1">
      <c r="B755" s="5"/>
      <c r="D755" s="5"/>
      <c r="F755" s="5"/>
      <c r="H755" s="5"/>
      <c r="J755" s="5"/>
      <c r="L755" s="5"/>
    </row>
    <row r="756" spans="2:12" ht="18" customHeight="1">
      <c r="B756" s="5"/>
      <c r="D756" s="5"/>
      <c r="F756" s="5"/>
      <c r="H756" s="5"/>
      <c r="J756" s="5"/>
      <c r="L756" s="5"/>
    </row>
    <row r="757" spans="2:12" ht="18" customHeight="1">
      <c r="B757" s="5"/>
      <c r="D757" s="5"/>
      <c r="F757" s="5"/>
      <c r="H757" s="5"/>
      <c r="J757" s="5"/>
      <c r="L757" s="5"/>
    </row>
    <row r="758" spans="2:12" ht="18" customHeight="1">
      <c r="B758" s="5"/>
      <c r="D758" s="5"/>
      <c r="F758" s="5"/>
      <c r="H758" s="5"/>
      <c r="J758" s="5"/>
      <c r="L758" s="5"/>
    </row>
    <row r="759" spans="2:12" ht="18" customHeight="1">
      <c r="B759" s="5"/>
      <c r="D759" s="5"/>
      <c r="F759" s="5"/>
      <c r="H759" s="5"/>
      <c r="J759" s="5"/>
      <c r="L759" s="5"/>
    </row>
    <row r="760" spans="2:12" ht="18" customHeight="1">
      <c r="B760" s="5"/>
      <c r="D760" s="5"/>
      <c r="F760" s="5"/>
      <c r="H760" s="5"/>
      <c r="J760" s="5"/>
      <c r="L760" s="5"/>
    </row>
    <row r="761" spans="2:12" ht="18" customHeight="1">
      <c r="B761" s="5"/>
      <c r="D761" s="5"/>
      <c r="F761" s="5"/>
      <c r="H761" s="5"/>
      <c r="J761" s="5"/>
      <c r="L761" s="5"/>
    </row>
    <row r="762" spans="2:12" ht="18" customHeight="1">
      <c r="B762" s="5"/>
      <c r="D762" s="5"/>
      <c r="F762" s="5"/>
      <c r="H762" s="5"/>
      <c r="J762" s="5"/>
      <c r="L762" s="5"/>
    </row>
    <row r="763" spans="2:12" ht="18" customHeight="1">
      <c r="B763" s="5"/>
      <c r="D763" s="5"/>
      <c r="F763" s="5"/>
      <c r="H763" s="5"/>
      <c r="J763" s="5"/>
      <c r="L763" s="5"/>
    </row>
    <row r="764" spans="2:12" ht="18" customHeight="1">
      <c r="B764" s="5"/>
      <c r="D764" s="5"/>
      <c r="F764" s="5"/>
      <c r="H764" s="5"/>
      <c r="J764" s="5"/>
      <c r="L764" s="5"/>
    </row>
    <row r="765" spans="2:12" ht="18" customHeight="1">
      <c r="B765" s="5"/>
      <c r="D765" s="5"/>
      <c r="F765" s="5"/>
      <c r="H765" s="5"/>
      <c r="J765" s="5"/>
      <c r="L765" s="5"/>
    </row>
    <row r="766" spans="2:12" ht="18" customHeight="1">
      <c r="B766" s="5"/>
      <c r="D766" s="5"/>
      <c r="F766" s="5"/>
      <c r="H766" s="5"/>
      <c r="J766" s="5"/>
      <c r="L766" s="5"/>
    </row>
    <row r="767" spans="2:12" ht="18" customHeight="1">
      <c r="B767" s="5"/>
      <c r="D767" s="5"/>
      <c r="F767" s="5"/>
      <c r="H767" s="5"/>
      <c r="J767" s="5"/>
      <c r="L767" s="5"/>
    </row>
    <row r="768" spans="2:12" ht="18" customHeight="1">
      <c r="B768" s="5"/>
      <c r="D768" s="5"/>
      <c r="F768" s="5"/>
      <c r="H768" s="5"/>
      <c r="J768" s="5"/>
      <c r="L768" s="5"/>
    </row>
    <row r="769" spans="2:12" ht="18" customHeight="1">
      <c r="B769" s="5"/>
      <c r="D769" s="5"/>
      <c r="F769" s="5"/>
      <c r="H769" s="5"/>
      <c r="J769" s="5"/>
      <c r="L769" s="5"/>
    </row>
    <row r="770" spans="2:12" ht="18" customHeight="1">
      <c r="B770" s="5"/>
      <c r="D770" s="5"/>
      <c r="F770" s="5"/>
      <c r="H770" s="5"/>
      <c r="J770" s="5"/>
      <c r="L770" s="5"/>
    </row>
    <row r="771" spans="2:12" ht="18" customHeight="1">
      <c r="B771" s="5"/>
      <c r="D771" s="5"/>
      <c r="F771" s="5"/>
      <c r="H771" s="5"/>
      <c r="J771" s="5"/>
      <c r="L771" s="5"/>
    </row>
    <row r="772" spans="2:12" ht="18" customHeight="1">
      <c r="B772" s="5"/>
      <c r="D772" s="5"/>
      <c r="F772" s="5"/>
      <c r="H772" s="5"/>
      <c r="J772" s="5"/>
      <c r="L772" s="5"/>
    </row>
    <row r="773" spans="2:12" ht="18" customHeight="1">
      <c r="B773" s="5"/>
      <c r="D773" s="5"/>
      <c r="F773" s="5"/>
      <c r="H773" s="5"/>
      <c r="J773" s="5"/>
      <c r="L773" s="5"/>
    </row>
    <row r="774" spans="2:12" ht="18" customHeight="1">
      <c r="B774" s="5"/>
      <c r="D774" s="5"/>
      <c r="F774" s="5"/>
      <c r="H774" s="5"/>
      <c r="J774" s="5"/>
      <c r="L774" s="5"/>
    </row>
    <row r="775" spans="2:12" ht="18" customHeight="1">
      <c r="B775" s="5"/>
      <c r="D775" s="5"/>
      <c r="F775" s="5"/>
      <c r="H775" s="5"/>
      <c r="J775" s="5"/>
      <c r="L775" s="5"/>
    </row>
    <row r="776" spans="2:12" ht="18" customHeight="1">
      <c r="B776" s="5"/>
      <c r="D776" s="5"/>
      <c r="F776" s="5"/>
      <c r="H776" s="5"/>
      <c r="J776" s="5"/>
      <c r="L776" s="5"/>
    </row>
    <row r="777" spans="2:12" ht="18" customHeight="1">
      <c r="B777" s="5"/>
      <c r="D777" s="5"/>
      <c r="F777" s="5"/>
      <c r="H777" s="5"/>
      <c r="J777" s="5"/>
      <c r="L777" s="5"/>
    </row>
    <row r="778" spans="2:12" ht="18" customHeight="1">
      <c r="B778" s="5"/>
      <c r="D778" s="5"/>
      <c r="F778" s="5"/>
      <c r="H778" s="5"/>
      <c r="J778" s="5"/>
      <c r="L778" s="5"/>
    </row>
    <row r="779" spans="2:12" ht="18" customHeight="1">
      <c r="B779" s="5"/>
      <c r="D779" s="5"/>
      <c r="F779" s="5"/>
      <c r="H779" s="5"/>
      <c r="J779" s="5"/>
      <c r="L779" s="5"/>
    </row>
    <row r="780" spans="2:12" ht="18" customHeight="1">
      <c r="B780" s="5"/>
      <c r="D780" s="5"/>
      <c r="F780" s="5"/>
      <c r="H780" s="5"/>
      <c r="J780" s="5"/>
      <c r="L780" s="5"/>
    </row>
    <row r="781" spans="2:12" ht="18" customHeight="1">
      <c r="B781" s="5"/>
      <c r="D781" s="5"/>
      <c r="F781" s="5"/>
      <c r="H781" s="5"/>
      <c r="J781" s="5"/>
      <c r="L781" s="5"/>
    </row>
    <row r="782" spans="2:12" ht="18" customHeight="1">
      <c r="B782" s="5"/>
      <c r="D782" s="5"/>
      <c r="F782" s="5"/>
      <c r="H782" s="5"/>
      <c r="J782" s="5"/>
      <c r="L782" s="5"/>
    </row>
    <row r="783" spans="2:12" ht="18" customHeight="1">
      <c r="B783" s="5"/>
      <c r="D783" s="5"/>
      <c r="F783" s="5"/>
      <c r="H783" s="5"/>
      <c r="J783" s="5"/>
      <c r="L783" s="5"/>
    </row>
    <row r="784" spans="2:12" ht="18" customHeight="1">
      <c r="B784" s="5"/>
      <c r="D784" s="5"/>
      <c r="F784" s="5"/>
      <c r="H784" s="5"/>
      <c r="J784" s="5"/>
      <c r="L784" s="5"/>
    </row>
    <row r="785" spans="2:12" ht="18" customHeight="1">
      <c r="B785" s="5"/>
      <c r="D785" s="5"/>
      <c r="F785" s="5"/>
      <c r="H785" s="5"/>
      <c r="J785" s="5"/>
      <c r="L785" s="5"/>
    </row>
    <row r="786" spans="2:12" ht="18" customHeight="1">
      <c r="B786" s="5"/>
      <c r="D786" s="5"/>
      <c r="F786" s="5"/>
      <c r="H786" s="5"/>
      <c r="J786" s="5"/>
      <c r="L786" s="5"/>
    </row>
    <row r="787" spans="2:12" ht="18" customHeight="1">
      <c r="B787" s="5"/>
      <c r="D787" s="5"/>
      <c r="F787" s="5"/>
      <c r="H787" s="5"/>
      <c r="J787" s="5"/>
      <c r="L787" s="5"/>
    </row>
    <row r="788" spans="2:12" ht="18" customHeight="1">
      <c r="B788" s="5"/>
      <c r="D788" s="5"/>
      <c r="F788" s="5"/>
      <c r="H788" s="5"/>
      <c r="J788" s="5"/>
      <c r="L788" s="5"/>
    </row>
    <row r="789" spans="2:12" ht="18" customHeight="1">
      <c r="B789" s="5"/>
      <c r="D789" s="5"/>
      <c r="F789" s="5"/>
      <c r="H789" s="5"/>
      <c r="J789" s="5"/>
      <c r="L789" s="5"/>
    </row>
    <row r="790" spans="2:12" ht="18" customHeight="1">
      <c r="B790" s="5"/>
      <c r="D790" s="5"/>
      <c r="F790" s="5"/>
      <c r="H790" s="5"/>
      <c r="J790" s="5"/>
      <c r="L790" s="5"/>
    </row>
    <row r="791" spans="2:12" ht="18" customHeight="1">
      <c r="B791" s="5"/>
      <c r="D791" s="5"/>
      <c r="F791" s="5"/>
      <c r="H791" s="5"/>
      <c r="J791" s="5"/>
      <c r="L791" s="5"/>
    </row>
    <row r="792" spans="2:12" ht="18" customHeight="1">
      <c r="B792" s="5"/>
      <c r="D792" s="5"/>
      <c r="F792" s="5"/>
      <c r="H792" s="5"/>
      <c r="J792" s="5"/>
      <c r="L792" s="5"/>
    </row>
    <row r="793" spans="2:12" ht="18" customHeight="1">
      <c r="B793" s="5"/>
      <c r="D793" s="5"/>
      <c r="F793" s="5"/>
      <c r="H793" s="5"/>
      <c r="J793" s="5"/>
      <c r="L793" s="5"/>
    </row>
    <row r="794" spans="2:12" ht="18" customHeight="1">
      <c r="B794" s="5"/>
      <c r="D794" s="5"/>
      <c r="F794" s="5"/>
      <c r="H794" s="5"/>
      <c r="J794" s="5"/>
      <c r="L794" s="5"/>
    </row>
    <row r="795" spans="2:12" ht="18" customHeight="1">
      <c r="B795" s="5"/>
      <c r="D795" s="5"/>
      <c r="F795" s="5"/>
      <c r="H795" s="5"/>
      <c r="J795" s="5"/>
      <c r="L795" s="5"/>
    </row>
    <row r="796" spans="2:12" ht="18" customHeight="1">
      <c r="B796" s="5"/>
      <c r="D796" s="5"/>
      <c r="F796" s="5"/>
      <c r="H796" s="5"/>
      <c r="J796" s="5"/>
      <c r="L796" s="5"/>
    </row>
    <row r="797" spans="2:12" ht="18" customHeight="1">
      <c r="B797" s="5"/>
      <c r="D797" s="5"/>
      <c r="F797" s="5"/>
      <c r="H797" s="5"/>
      <c r="J797" s="5"/>
      <c r="L797" s="5"/>
    </row>
    <row r="798" spans="2:12" ht="18" customHeight="1">
      <c r="B798" s="5"/>
      <c r="D798" s="5"/>
      <c r="F798" s="5"/>
      <c r="H798" s="5"/>
      <c r="J798" s="5"/>
      <c r="L798" s="5"/>
    </row>
    <row r="799" spans="2:12" ht="18" customHeight="1">
      <c r="B799" s="5"/>
      <c r="D799" s="5"/>
      <c r="F799" s="5"/>
      <c r="H799" s="5"/>
      <c r="J799" s="5"/>
      <c r="L799" s="5"/>
    </row>
    <row r="800" spans="2:12" ht="18" customHeight="1">
      <c r="B800" s="5"/>
      <c r="D800" s="5"/>
      <c r="F800" s="5"/>
      <c r="H800" s="5"/>
      <c r="J800" s="5"/>
      <c r="L800" s="5"/>
    </row>
    <row r="801" spans="2:12" ht="18" customHeight="1">
      <c r="B801" s="5"/>
      <c r="D801" s="5"/>
      <c r="F801" s="5"/>
      <c r="H801" s="5"/>
      <c r="J801" s="5"/>
      <c r="L801" s="5"/>
    </row>
    <row r="802" spans="2:12" ht="18" customHeight="1">
      <c r="B802" s="5"/>
      <c r="D802" s="5"/>
      <c r="F802" s="5"/>
      <c r="H802" s="5"/>
      <c r="J802" s="5"/>
      <c r="L802" s="5"/>
    </row>
    <row r="803" spans="2:12" ht="18" customHeight="1">
      <c r="B803" s="5"/>
      <c r="D803" s="5"/>
      <c r="F803" s="5"/>
      <c r="H803" s="5"/>
      <c r="J803" s="5"/>
      <c r="L803" s="5"/>
    </row>
    <row r="804" spans="2:12" ht="18" customHeight="1">
      <c r="B804" s="5"/>
      <c r="D804" s="5"/>
      <c r="F804" s="5"/>
      <c r="H804" s="5"/>
      <c r="J804" s="5"/>
      <c r="L804" s="5"/>
    </row>
    <row r="805" spans="2:12" ht="18" customHeight="1">
      <c r="B805" s="5"/>
      <c r="D805" s="5"/>
      <c r="F805" s="5"/>
      <c r="H805" s="5"/>
      <c r="J805" s="5"/>
      <c r="L805" s="5"/>
    </row>
    <row r="806" spans="2:12" ht="18" customHeight="1">
      <c r="B806" s="5"/>
      <c r="D806" s="5"/>
      <c r="F806" s="5"/>
      <c r="H806" s="5"/>
      <c r="J806" s="5"/>
      <c r="L806" s="5"/>
    </row>
    <row r="807" spans="2:12" ht="18" customHeight="1">
      <c r="B807" s="5"/>
      <c r="D807" s="5"/>
      <c r="F807" s="5"/>
      <c r="H807" s="5"/>
      <c r="J807" s="5"/>
      <c r="L807" s="5"/>
    </row>
    <row r="808" spans="2:12" ht="18" customHeight="1">
      <c r="B808" s="5"/>
      <c r="D808" s="5"/>
      <c r="F808" s="5"/>
      <c r="H808" s="5"/>
      <c r="J808" s="5"/>
      <c r="L808" s="5"/>
    </row>
    <row r="809" spans="2:12" ht="18" customHeight="1">
      <c r="B809" s="5"/>
      <c r="D809" s="5"/>
      <c r="F809" s="5"/>
      <c r="H809" s="5"/>
      <c r="J809" s="5"/>
      <c r="L809" s="5"/>
    </row>
    <row r="810" spans="2:12" ht="18" customHeight="1">
      <c r="B810" s="5"/>
      <c r="D810" s="5"/>
      <c r="F810" s="5"/>
      <c r="H810" s="5"/>
      <c r="J810" s="5"/>
      <c r="L810" s="5"/>
    </row>
    <row r="811" spans="2:12" ht="18" customHeight="1">
      <c r="B811" s="5"/>
      <c r="D811" s="5"/>
      <c r="F811" s="5"/>
      <c r="H811" s="5"/>
      <c r="J811" s="5"/>
      <c r="L811" s="5"/>
    </row>
    <row r="812" spans="2:12" ht="18" customHeight="1">
      <c r="B812" s="5"/>
      <c r="D812" s="5"/>
      <c r="F812" s="5"/>
      <c r="H812" s="5"/>
      <c r="J812" s="5"/>
      <c r="L812" s="5"/>
    </row>
    <row r="813" spans="2:12" ht="18" customHeight="1">
      <c r="B813" s="5"/>
      <c r="D813" s="5"/>
      <c r="F813" s="5"/>
      <c r="H813" s="5"/>
      <c r="J813" s="5"/>
      <c r="L813" s="5"/>
    </row>
    <row r="814" spans="2:12" ht="18" customHeight="1">
      <c r="B814" s="5"/>
      <c r="D814" s="5"/>
      <c r="F814" s="5"/>
      <c r="H814" s="5"/>
      <c r="J814" s="5"/>
      <c r="L814" s="5"/>
    </row>
    <row r="815" spans="2:12" ht="18" customHeight="1">
      <c r="B815" s="5"/>
      <c r="D815" s="5"/>
      <c r="F815" s="5"/>
      <c r="H815" s="5"/>
      <c r="J815" s="5"/>
      <c r="L815" s="5"/>
    </row>
    <row r="816" spans="2:12" ht="18" customHeight="1">
      <c r="B816" s="5"/>
      <c r="D816" s="5"/>
      <c r="F816" s="5"/>
      <c r="H816" s="5"/>
      <c r="J816" s="5"/>
      <c r="L816" s="5"/>
    </row>
    <row r="817" spans="2:12" ht="18" customHeight="1">
      <c r="B817" s="5"/>
      <c r="D817" s="5"/>
      <c r="F817" s="5"/>
      <c r="H817" s="5"/>
      <c r="J817" s="5"/>
      <c r="L817" s="5"/>
    </row>
    <row r="818" spans="2:12" ht="18" customHeight="1">
      <c r="B818" s="5"/>
      <c r="D818" s="5"/>
      <c r="F818" s="5"/>
      <c r="H818" s="5"/>
      <c r="J818" s="5"/>
      <c r="L818" s="5"/>
    </row>
    <row r="819" spans="2:12" ht="18" customHeight="1">
      <c r="B819" s="5"/>
      <c r="D819" s="5"/>
      <c r="F819" s="5"/>
      <c r="H819" s="5"/>
      <c r="J819" s="5"/>
      <c r="L819" s="5"/>
    </row>
    <row r="820" spans="2:12" ht="18" customHeight="1">
      <c r="B820" s="5"/>
      <c r="D820" s="5"/>
      <c r="F820" s="5"/>
      <c r="H820" s="5"/>
      <c r="J820" s="5"/>
      <c r="L820" s="5"/>
    </row>
    <row r="821" spans="2:12" ht="18" customHeight="1">
      <c r="B821" s="5"/>
      <c r="D821" s="5"/>
      <c r="F821" s="5"/>
      <c r="H821" s="5"/>
      <c r="J821" s="5"/>
      <c r="L821" s="5"/>
    </row>
    <row r="822" spans="2:12" ht="18" customHeight="1">
      <c r="B822" s="5"/>
      <c r="D822" s="5"/>
      <c r="F822" s="5"/>
      <c r="H822" s="5"/>
      <c r="J822" s="5"/>
      <c r="L822" s="5"/>
    </row>
    <row r="823" spans="2:12" ht="18" customHeight="1">
      <c r="B823" s="5"/>
      <c r="D823" s="5"/>
      <c r="F823" s="5"/>
      <c r="H823" s="5"/>
      <c r="J823" s="5"/>
      <c r="L823" s="5"/>
    </row>
    <row r="824" spans="2:12" ht="18" customHeight="1">
      <c r="B824" s="5"/>
      <c r="D824" s="5"/>
      <c r="F824" s="5"/>
      <c r="H824" s="5"/>
      <c r="J824" s="5"/>
      <c r="L824" s="5"/>
    </row>
    <row r="825" spans="2:12" ht="18" customHeight="1">
      <c r="B825" s="5"/>
      <c r="D825" s="5"/>
      <c r="F825" s="5"/>
      <c r="H825" s="5"/>
      <c r="J825" s="5"/>
      <c r="L825" s="5"/>
    </row>
    <row r="826" spans="2:12" ht="18" customHeight="1">
      <c r="B826" s="5"/>
      <c r="D826" s="5"/>
      <c r="F826" s="5"/>
      <c r="H826" s="5"/>
      <c r="J826" s="5"/>
      <c r="L826" s="5"/>
    </row>
    <row r="827" spans="2:12" ht="18" customHeight="1">
      <c r="B827" s="5"/>
      <c r="D827" s="5"/>
      <c r="F827" s="5"/>
      <c r="H827" s="5"/>
      <c r="J827" s="5"/>
      <c r="L827" s="5"/>
    </row>
    <row r="828" spans="2:12" ht="18" customHeight="1">
      <c r="B828" s="5"/>
      <c r="D828" s="5"/>
      <c r="F828" s="5"/>
      <c r="H828" s="5"/>
      <c r="J828" s="5"/>
      <c r="L828" s="5"/>
    </row>
    <row r="829" spans="2:12" ht="18" customHeight="1">
      <c r="B829" s="5"/>
      <c r="D829" s="5"/>
      <c r="F829" s="5"/>
      <c r="H829" s="5"/>
      <c r="J829" s="5"/>
      <c r="L829" s="5"/>
    </row>
    <row r="830" spans="2:12" ht="18" customHeight="1">
      <c r="B830" s="5"/>
      <c r="D830" s="5"/>
      <c r="F830" s="5"/>
      <c r="H830" s="5"/>
      <c r="J830" s="5"/>
      <c r="L830" s="5"/>
    </row>
    <row r="831" spans="2:12" ht="18" customHeight="1">
      <c r="B831" s="5"/>
      <c r="D831" s="5"/>
      <c r="F831" s="5"/>
      <c r="H831" s="5"/>
      <c r="J831" s="5"/>
      <c r="L831" s="5"/>
    </row>
    <row r="832" spans="2:12" ht="18" customHeight="1">
      <c r="B832" s="5"/>
      <c r="D832" s="5"/>
      <c r="F832" s="5"/>
      <c r="H832" s="5"/>
      <c r="J832" s="5"/>
      <c r="L832" s="5"/>
    </row>
    <row r="833" spans="2:12" ht="18" customHeight="1">
      <c r="B833" s="5"/>
      <c r="D833" s="5"/>
      <c r="F833" s="5"/>
      <c r="H833" s="5"/>
      <c r="J833" s="5"/>
      <c r="L833" s="5"/>
    </row>
    <row r="834" spans="2:12" ht="18" customHeight="1">
      <c r="B834" s="5"/>
      <c r="D834" s="5"/>
      <c r="F834" s="5"/>
      <c r="H834" s="5"/>
      <c r="J834" s="5"/>
      <c r="L834" s="5"/>
    </row>
    <row r="835" spans="2:12" ht="18" customHeight="1">
      <c r="B835" s="5"/>
      <c r="D835" s="5"/>
      <c r="F835" s="5"/>
      <c r="H835" s="5"/>
      <c r="J835" s="5"/>
      <c r="L835" s="5"/>
    </row>
    <row r="836" spans="2:12" ht="18" customHeight="1">
      <c r="B836" s="5"/>
      <c r="D836" s="5"/>
      <c r="F836" s="5"/>
      <c r="H836" s="5"/>
      <c r="J836" s="5"/>
      <c r="L836" s="5"/>
    </row>
    <row r="837" spans="2:12" ht="18" customHeight="1">
      <c r="B837" s="5"/>
      <c r="D837" s="5"/>
      <c r="F837" s="5"/>
      <c r="H837" s="5"/>
      <c r="J837" s="5"/>
      <c r="L837" s="5"/>
    </row>
    <row r="838" spans="2:12" ht="18" customHeight="1">
      <c r="B838" s="5"/>
      <c r="D838" s="5"/>
      <c r="F838" s="5"/>
      <c r="H838" s="5"/>
      <c r="J838" s="5"/>
      <c r="L838" s="5"/>
    </row>
    <row r="839" spans="2:12" ht="18" customHeight="1">
      <c r="B839" s="5"/>
      <c r="D839" s="5"/>
      <c r="F839" s="5"/>
      <c r="H839" s="5"/>
      <c r="J839" s="5"/>
      <c r="L839" s="5"/>
    </row>
    <row r="840" spans="2:12" ht="18" customHeight="1">
      <c r="B840" s="5"/>
      <c r="D840" s="5"/>
      <c r="F840" s="5"/>
      <c r="H840" s="5"/>
      <c r="J840" s="5"/>
      <c r="L840" s="5"/>
    </row>
    <row r="841" spans="2:12" ht="18" customHeight="1">
      <c r="B841" s="5"/>
      <c r="D841" s="5"/>
      <c r="F841" s="5"/>
      <c r="H841" s="5"/>
      <c r="J841" s="5"/>
      <c r="L841" s="5"/>
    </row>
    <row r="842" spans="2:12" ht="18" customHeight="1">
      <c r="B842" s="5"/>
      <c r="D842" s="5"/>
      <c r="F842" s="5"/>
      <c r="H842" s="5"/>
      <c r="J842" s="5"/>
      <c r="L842" s="5"/>
    </row>
    <row r="843" spans="2:12" ht="18" customHeight="1">
      <c r="B843" s="5"/>
      <c r="D843" s="5"/>
      <c r="F843" s="5"/>
      <c r="H843" s="5"/>
      <c r="J843" s="5"/>
      <c r="L843" s="5"/>
    </row>
    <row r="844" spans="2:12" ht="18" customHeight="1">
      <c r="B844" s="5"/>
      <c r="D844" s="5"/>
      <c r="F844" s="5"/>
      <c r="H844" s="5"/>
      <c r="J844" s="5"/>
      <c r="L844" s="5"/>
    </row>
    <row r="845" spans="2:12" ht="18" customHeight="1">
      <c r="B845" s="5"/>
      <c r="D845" s="5"/>
      <c r="F845" s="5"/>
      <c r="H845" s="5"/>
      <c r="J845" s="5"/>
      <c r="L845" s="5"/>
    </row>
    <row r="846" spans="2:12" ht="18" customHeight="1">
      <c r="B846" s="5"/>
      <c r="D846" s="5"/>
      <c r="F846" s="5"/>
      <c r="H846" s="5"/>
      <c r="J846" s="5"/>
      <c r="L846" s="5"/>
    </row>
    <row r="847" spans="2:12" ht="18" customHeight="1">
      <c r="B847" s="5"/>
      <c r="D847" s="5"/>
      <c r="F847" s="5"/>
      <c r="H847" s="5"/>
      <c r="J847" s="5"/>
      <c r="L847" s="5"/>
    </row>
    <row r="848" spans="2:12" ht="18" customHeight="1">
      <c r="B848" s="5"/>
      <c r="D848" s="5"/>
      <c r="F848" s="5"/>
      <c r="H848" s="5"/>
      <c r="J848" s="5"/>
      <c r="L848" s="5"/>
    </row>
    <row r="849" spans="2:12" ht="18" customHeight="1">
      <c r="B849" s="5"/>
      <c r="D849" s="5"/>
      <c r="F849" s="5"/>
      <c r="H849" s="5"/>
      <c r="J849" s="5"/>
      <c r="L849" s="5"/>
    </row>
    <row r="850" spans="2:12" ht="18" customHeight="1">
      <c r="B850" s="5"/>
      <c r="D850" s="5"/>
      <c r="F850" s="5"/>
      <c r="H850" s="5"/>
      <c r="J850" s="5"/>
      <c r="L850" s="5"/>
    </row>
    <row r="851" spans="2:12" ht="18" customHeight="1">
      <c r="B851" s="5"/>
      <c r="D851" s="5"/>
      <c r="F851" s="5"/>
      <c r="H851" s="5"/>
      <c r="J851" s="5"/>
      <c r="L851" s="5"/>
    </row>
    <row r="852" spans="2:12" ht="18" customHeight="1">
      <c r="B852" s="5"/>
      <c r="D852" s="5"/>
      <c r="F852" s="5"/>
      <c r="H852" s="5"/>
      <c r="J852" s="5"/>
      <c r="L852" s="5"/>
    </row>
    <row r="853" spans="2:12" ht="18" customHeight="1">
      <c r="B853" s="5"/>
      <c r="D853" s="5"/>
      <c r="F853" s="5"/>
      <c r="H853" s="5"/>
      <c r="J853" s="5"/>
      <c r="L853" s="5"/>
    </row>
    <row r="854" spans="2:12" ht="18" customHeight="1">
      <c r="B854" s="5"/>
      <c r="D854" s="5"/>
      <c r="F854" s="5"/>
      <c r="H854" s="5"/>
      <c r="J854" s="5"/>
      <c r="L854" s="5"/>
    </row>
    <row r="855" spans="2:12" ht="18" customHeight="1">
      <c r="B855" s="5"/>
      <c r="D855" s="5"/>
      <c r="F855" s="5"/>
      <c r="H855" s="5"/>
      <c r="J855" s="5"/>
      <c r="L855" s="5"/>
    </row>
    <row r="856" spans="2:12" ht="18" customHeight="1">
      <c r="B856" s="5"/>
      <c r="D856" s="5"/>
      <c r="F856" s="5"/>
      <c r="H856" s="5"/>
      <c r="J856" s="5"/>
      <c r="L856" s="5"/>
    </row>
    <row r="857" spans="2:12" ht="18" customHeight="1">
      <c r="B857" s="5"/>
      <c r="D857" s="5"/>
      <c r="F857" s="5"/>
      <c r="H857" s="5"/>
      <c r="J857" s="5"/>
      <c r="L857" s="5"/>
    </row>
    <row r="858" spans="2:12" ht="18" customHeight="1">
      <c r="B858" s="5"/>
      <c r="D858" s="5"/>
      <c r="F858" s="5"/>
      <c r="H858" s="5"/>
      <c r="J858" s="5"/>
      <c r="L858" s="5"/>
    </row>
    <row r="859" spans="2:12" ht="18" customHeight="1">
      <c r="B859" s="5"/>
      <c r="D859" s="5"/>
      <c r="F859" s="5"/>
      <c r="H859" s="5"/>
      <c r="J859" s="5"/>
      <c r="L859" s="5"/>
    </row>
    <row r="860" spans="2:12" ht="18" customHeight="1">
      <c r="B860" s="5"/>
      <c r="D860" s="5"/>
      <c r="F860" s="5"/>
      <c r="H860" s="5"/>
      <c r="J860" s="5"/>
      <c r="L860" s="5"/>
    </row>
    <row r="861" spans="2:12" ht="18" customHeight="1">
      <c r="B861" s="5"/>
      <c r="D861" s="5"/>
      <c r="F861" s="5"/>
      <c r="H861" s="5"/>
      <c r="J861" s="5"/>
      <c r="L861" s="5"/>
    </row>
    <row r="862" spans="2:12" ht="18" customHeight="1">
      <c r="B862" s="5"/>
      <c r="D862" s="5"/>
      <c r="F862" s="5"/>
      <c r="H862" s="5"/>
      <c r="J862" s="5"/>
      <c r="L862" s="5"/>
    </row>
    <row r="863" spans="2:12" ht="18" customHeight="1">
      <c r="B863" s="5"/>
      <c r="D863" s="5"/>
      <c r="F863" s="5"/>
      <c r="H863" s="5"/>
      <c r="J863" s="5"/>
      <c r="L863" s="5"/>
    </row>
    <row r="864" spans="2:12" ht="18" customHeight="1">
      <c r="B864" s="5"/>
      <c r="D864" s="5"/>
      <c r="F864" s="5"/>
      <c r="H864" s="5"/>
      <c r="J864" s="5"/>
      <c r="L864" s="5"/>
    </row>
    <row r="865" spans="2:12" ht="18" customHeight="1">
      <c r="B865" s="5"/>
      <c r="D865" s="5"/>
      <c r="F865" s="5"/>
      <c r="H865" s="5"/>
      <c r="J865" s="5"/>
      <c r="L865" s="5"/>
    </row>
    <row r="866" spans="2:12" ht="18" customHeight="1">
      <c r="B866" s="5"/>
      <c r="D866" s="5"/>
      <c r="F866" s="5"/>
      <c r="H866" s="5"/>
      <c r="J866" s="5"/>
      <c r="L866" s="5"/>
    </row>
    <row r="867" spans="2:12" ht="18" customHeight="1">
      <c r="B867" s="5"/>
      <c r="D867" s="5"/>
      <c r="F867" s="5"/>
      <c r="H867" s="5"/>
      <c r="J867" s="5"/>
      <c r="L867" s="5"/>
    </row>
    <row r="868" spans="2:12" ht="18" customHeight="1">
      <c r="B868" s="5"/>
      <c r="D868" s="5"/>
      <c r="F868" s="5"/>
      <c r="H868" s="5"/>
      <c r="J868" s="5"/>
      <c r="L868" s="5"/>
    </row>
    <row r="869" spans="2:12" ht="18" customHeight="1">
      <c r="B869" s="5"/>
      <c r="D869" s="5"/>
      <c r="F869" s="5"/>
      <c r="H869" s="5"/>
      <c r="J869" s="5"/>
      <c r="L869" s="5"/>
    </row>
    <row r="870" spans="2:12" ht="18" customHeight="1">
      <c r="B870" s="5"/>
      <c r="D870" s="5"/>
      <c r="F870" s="5"/>
      <c r="H870" s="5"/>
      <c r="J870" s="5"/>
      <c r="L870" s="5"/>
    </row>
    <row r="871" spans="2:12" ht="18" customHeight="1">
      <c r="B871" s="5"/>
      <c r="D871" s="5"/>
      <c r="F871" s="5"/>
      <c r="H871" s="5"/>
      <c r="J871" s="5"/>
      <c r="L871" s="5"/>
    </row>
    <row r="872" spans="2:12" ht="18" customHeight="1">
      <c r="B872" s="5"/>
      <c r="D872" s="5"/>
      <c r="F872" s="5"/>
      <c r="H872" s="5"/>
      <c r="J872" s="5"/>
      <c r="L872" s="5"/>
    </row>
    <row r="873" spans="2:12" ht="18" customHeight="1">
      <c r="B873" s="5"/>
      <c r="D873" s="5"/>
      <c r="F873" s="5"/>
      <c r="H873" s="5"/>
      <c r="J873" s="5"/>
      <c r="L873" s="5"/>
    </row>
    <row r="874" spans="2:12" ht="18" customHeight="1">
      <c r="B874" s="5"/>
      <c r="D874" s="5"/>
      <c r="F874" s="5"/>
      <c r="H874" s="5"/>
      <c r="J874" s="5"/>
      <c r="L874" s="5"/>
    </row>
    <row r="875" spans="2:12" ht="18" customHeight="1">
      <c r="B875" s="5"/>
      <c r="D875" s="5"/>
      <c r="F875" s="5"/>
      <c r="H875" s="5"/>
      <c r="J875" s="5"/>
      <c r="L875" s="5"/>
    </row>
    <row r="876" spans="2:12" ht="18" customHeight="1">
      <c r="B876" s="5"/>
      <c r="D876" s="5"/>
      <c r="F876" s="5"/>
      <c r="H876" s="5"/>
      <c r="J876" s="5"/>
      <c r="L876" s="5"/>
    </row>
    <row r="877" spans="2:12" ht="18" customHeight="1">
      <c r="B877" s="5"/>
      <c r="D877" s="5"/>
      <c r="F877" s="5"/>
      <c r="H877" s="5"/>
      <c r="J877" s="5"/>
      <c r="L877" s="5"/>
    </row>
    <row r="878" spans="2:12" ht="18" customHeight="1">
      <c r="B878" s="5"/>
      <c r="D878" s="5"/>
      <c r="F878" s="5"/>
      <c r="H878" s="5"/>
      <c r="J878" s="5"/>
      <c r="L878" s="5"/>
    </row>
    <row r="879" spans="2:12" ht="18" customHeight="1">
      <c r="B879" s="5"/>
      <c r="D879" s="5"/>
      <c r="F879" s="5"/>
      <c r="H879" s="5"/>
      <c r="J879" s="5"/>
      <c r="L879" s="5"/>
    </row>
    <row r="880" spans="2:12" ht="18" customHeight="1">
      <c r="B880" s="5"/>
      <c r="D880" s="5"/>
      <c r="F880" s="5"/>
      <c r="H880" s="5"/>
      <c r="J880" s="5"/>
      <c r="L880" s="5"/>
    </row>
    <row r="881" spans="2:12" ht="18" customHeight="1">
      <c r="B881" s="5"/>
      <c r="D881" s="5"/>
      <c r="F881" s="5"/>
      <c r="H881" s="5"/>
      <c r="J881" s="5"/>
      <c r="L881" s="5"/>
    </row>
    <row r="882" spans="2:12" ht="18" customHeight="1">
      <c r="B882" s="5"/>
      <c r="D882" s="5"/>
      <c r="F882" s="5"/>
      <c r="H882" s="5"/>
      <c r="J882" s="5"/>
      <c r="L882" s="5"/>
    </row>
    <row r="883" spans="2:12" ht="18" customHeight="1">
      <c r="B883" s="5"/>
      <c r="D883" s="5"/>
      <c r="F883" s="5"/>
      <c r="H883" s="5"/>
      <c r="J883" s="5"/>
      <c r="L883" s="5"/>
    </row>
    <row r="884" spans="2:12" ht="18" customHeight="1">
      <c r="B884" s="5"/>
      <c r="D884" s="5"/>
      <c r="F884" s="5"/>
      <c r="H884" s="5"/>
      <c r="J884" s="5"/>
      <c r="L884" s="5"/>
    </row>
    <row r="885" spans="2:12" ht="18" customHeight="1">
      <c r="B885" s="5"/>
      <c r="D885" s="5"/>
      <c r="F885" s="5"/>
      <c r="H885" s="5"/>
      <c r="J885" s="5"/>
      <c r="L885" s="5"/>
    </row>
    <row r="886" spans="2:12" ht="18" customHeight="1">
      <c r="B886" s="5"/>
      <c r="D886" s="5"/>
      <c r="F886" s="5"/>
      <c r="H886" s="5"/>
      <c r="J886" s="5"/>
      <c r="L886" s="5"/>
    </row>
    <row r="887" spans="2:12" ht="18" customHeight="1">
      <c r="B887" s="5"/>
      <c r="D887" s="5"/>
      <c r="F887" s="5"/>
      <c r="H887" s="5"/>
      <c r="J887" s="5"/>
      <c r="L887" s="5"/>
    </row>
    <row r="888" spans="2:12" ht="18" customHeight="1">
      <c r="B888" s="5"/>
      <c r="D888" s="5"/>
      <c r="F888" s="5"/>
      <c r="H888" s="5"/>
      <c r="J888" s="5"/>
      <c r="L888" s="5"/>
    </row>
    <row r="889" spans="2:12" ht="18" customHeight="1">
      <c r="B889" s="5"/>
      <c r="D889" s="5"/>
      <c r="F889" s="5"/>
      <c r="H889" s="5"/>
      <c r="J889" s="5"/>
      <c r="L889" s="5"/>
    </row>
    <row r="890" spans="2:12" ht="18" customHeight="1">
      <c r="B890" s="5"/>
      <c r="D890" s="5"/>
      <c r="F890" s="5"/>
      <c r="H890" s="5"/>
      <c r="J890" s="5"/>
      <c r="L890" s="5"/>
    </row>
    <row r="891" spans="2:12" ht="18" customHeight="1">
      <c r="B891" s="5"/>
      <c r="D891" s="5"/>
      <c r="F891" s="5"/>
      <c r="H891" s="5"/>
      <c r="J891" s="5"/>
      <c r="L891" s="5"/>
    </row>
    <row r="892" spans="2:12" ht="18" customHeight="1">
      <c r="B892" s="5"/>
      <c r="D892" s="5"/>
      <c r="F892" s="5"/>
      <c r="H892" s="5"/>
      <c r="J892" s="5"/>
      <c r="L892" s="5"/>
    </row>
    <row r="893" spans="2:12" ht="18" customHeight="1">
      <c r="B893" s="5"/>
      <c r="D893" s="5"/>
      <c r="F893" s="5"/>
      <c r="H893" s="5"/>
      <c r="J893" s="5"/>
      <c r="L893" s="5"/>
    </row>
    <row r="894" spans="2:12" ht="18" customHeight="1">
      <c r="B894" s="5"/>
      <c r="D894" s="5"/>
      <c r="F894" s="5"/>
      <c r="H894" s="5"/>
      <c r="J894" s="5"/>
      <c r="L894" s="5"/>
    </row>
    <row r="895" spans="2:12" ht="18" customHeight="1">
      <c r="B895" s="5"/>
      <c r="D895" s="5"/>
      <c r="F895" s="5"/>
      <c r="H895" s="5"/>
      <c r="J895" s="5"/>
      <c r="L895" s="5"/>
    </row>
    <row r="896" spans="2:12" ht="18" customHeight="1">
      <c r="B896" s="5"/>
      <c r="D896" s="5"/>
      <c r="F896" s="5"/>
      <c r="H896" s="5"/>
      <c r="J896" s="5"/>
      <c r="L896" s="5"/>
    </row>
    <row r="897" spans="2:12" ht="18" customHeight="1">
      <c r="B897" s="5"/>
      <c r="D897" s="5"/>
      <c r="F897" s="5"/>
      <c r="H897" s="5"/>
      <c r="J897" s="5"/>
      <c r="L897" s="5"/>
    </row>
    <row r="898" spans="2:12" ht="18" customHeight="1">
      <c r="B898" s="5"/>
      <c r="D898" s="5"/>
      <c r="F898" s="5"/>
      <c r="H898" s="5"/>
      <c r="J898" s="5"/>
      <c r="L898" s="5"/>
    </row>
    <row r="899" spans="2:12" ht="18" customHeight="1">
      <c r="B899" s="5"/>
      <c r="D899" s="5"/>
      <c r="F899" s="5"/>
      <c r="H899" s="5"/>
      <c r="J899" s="5"/>
      <c r="L899" s="5"/>
    </row>
    <row r="900" spans="2:12" ht="18" customHeight="1">
      <c r="B900" s="5"/>
      <c r="D900" s="5"/>
      <c r="F900" s="5"/>
      <c r="H900" s="5"/>
      <c r="J900" s="5"/>
      <c r="L900" s="5"/>
    </row>
    <row r="901" spans="2:12" ht="18" customHeight="1">
      <c r="B901" s="5"/>
      <c r="D901" s="5"/>
      <c r="F901" s="5"/>
      <c r="H901" s="5"/>
      <c r="J901" s="5"/>
      <c r="L901" s="5"/>
    </row>
    <row r="902" spans="2:12" ht="18" customHeight="1">
      <c r="B902" s="5"/>
      <c r="D902" s="5"/>
      <c r="F902" s="5"/>
      <c r="H902" s="5"/>
      <c r="J902" s="5"/>
      <c r="L902" s="5"/>
    </row>
    <row r="903" spans="2:12" ht="18" customHeight="1">
      <c r="B903" s="5"/>
      <c r="D903" s="5"/>
      <c r="F903" s="5"/>
      <c r="H903" s="5"/>
      <c r="J903" s="5"/>
      <c r="L903" s="5"/>
    </row>
    <row r="904" spans="2:12" ht="18" customHeight="1">
      <c r="B904" s="5"/>
      <c r="D904" s="5"/>
      <c r="F904" s="5"/>
      <c r="H904" s="5"/>
      <c r="J904" s="5"/>
      <c r="L904" s="5"/>
    </row>
    <row r="905" spans="2:12" ht="18" customHeight="1">
      <c r="B905" s="5"/>
      <c r="D905" s="5"/>
      <c r="F905" s="5"/>
      <c r="H905" s="5"/>
      <c r="J905" s="5"/>
      <c r="L905" s="5"/>
    </row>
    <row r="906" spans="2:12" ht="18" customHeight="1">
      <c r="B906" s="5"/>
      <c r="D906" s="5"/>
      <c r="F906" s="5"/>
      <c r="H906" s="5"/>
      <c r="J906" s="5"/>
      <c r="L906" s="5"/>
    </row>
    <row r="907" spans="2:12" ht="18" customHeight="1">
      <c r="B907" s="5"/>
      <c r="D907" s="5"/>
      <c r="F907" s="5"/>
      <c r="H907" s="5"/>
      <c r="J907" s="5"/>
      <c r="L907" s="5"/>
    </row>
    <row r="908" spans="2:12" ht="18" customHeight="1">
      <c r="B908" s="5"/>
      <c r="D908" s="5"/>
      <c r="F908" s="5"/>
      <c r="H908" s="5"/>
      <c r="J908" s="5"/>
      <c r="L908" s="5"/>
    </row>
    <row r="909" spans="2:12" ht="18" customHeight="1">
      <c r="B909" s="5"/>
      <c r="D909" s="5"/>
      <c r="F909" s="5"/>
      <c r="H909" s="5"/>
      <c r="J909" s="5"/>
      <c r="L909" s="5"/>
    </row>
    <row r="910" spans="2:12" ht="18" customHeight="1">
      <c r="B910" s="5"/>
      <c r="D910" s="5"/>
      <c r="F910" s="5"/>
      <c r="H910" s="5"/>
      <c r="J910" s="5"/>
      <c r="L910" s="5"/>
    </row>
    <row r="911" spans="2:12" ht="18" customHeight="1">
      <c r="B911" s="5"/>
      <c r="D911" s="5"/>
      <c r="F911" s="5"/>
      <c r="H911" s="5"/>
      <c r="J911" s="5"/>
      <c r="L911" s="5"/>
    </row>
    <row r="912" spans="2:12" ht="18" customHeight="1">
      <c r="B912" s="5"/>
      <c r="D912" s="5"/>
      <c r="F912" s="5"/>
      <c r="H912" s="5"/>
      <c r="J912" s="5"/>
      <c r="L912" s="5"/>
    </row>
    <row r="913" spans="2:12" ht="18" customHeight="1">
      <c r="B913" s="5"/>
      <c r="D913" s="5"/>
      <c r="F913" s="5"/>
      <c r="H913" s="5"/>
      <c r="J913" s="5"/>
      <c r="L913" s="5"/>
    </row>
    <row r="914" spans="2:12" ht="18" customHeight="1">
      <c r="B914" s="5"/>
      <c r="D914" s="5"/>
      <c r="F914" s="5"/>
      <c r="H914" s="5"/>
      <c r="J914" s="5"/>
      <c r="L914" s="5"/>
    </row>
    <row r="915" spans="2:12" ht="18" customHeight="1">
      <c r="B915" s="5"/>
      <c r="D915" s="5"/>
      <c r="F915" s="5"/>
      <c r="H915" s="5"/>
      <c r="J915" s="5"/>
      <c r="L915" s="5"/>
    </row>
    <row r="916" spans="2:12" ht="18" customHeight="1">
      <c r="B916" s="5"/>
      <c r="D916" s="5"/>
      <c r="F916" s="5"/>
      <c r="H916" s="5"/>
      <c r="J916" s="5"/>
      <c r="L916" s="5"/>
    </row>
    <row r="917" spans="2:12" ht="18" customHeight="1">
      <c r="B917" s="5"/>
      <c r="D917" s="5"/>
      <c r="F917" s="5"/>
      <c r="H917" s="5"/>
      <c r="J917" s="5"/>
      <c r="L917" s="5"/>
    </row>
    <row r="918" spans="2:12" ht="18" customHeight="1">
      <c r="B918" s="5"/>
      <c r="D918" s="5"/>
      <c r="F918" s="5"/>
      <c r="H918" s="5"/>
      <c r="J918" s="5"/>
      <c r="L918" s="5"/>
    </row>
    <row r="919" spans="2:12" ht="18" customHeight="1">
      <c r="B919" s="5"/>
      <c r="D919" s="5"/>
      <c r="F919" s="5"/>
      <c r="H919" s="5"/>
      <c r="J919" s="5"/>
      <c r="L919" s="5"/>
    </row>
    <row r="920" spans="2:12" ht="18" customHeight="1">
      <c r="B920" s="5"/>
      <c r="D920" s="5"/>
      <c r="F920" s="5"/>
      <c r="H920" s="5"/>
      <c r="J920" s="5"/>
      <c r="L920" s="5"/>
    </row>
    <row r="921" spans="2:12" ht="18" customHeight="1">
      <c r="B921" s="5"/>
      <c r="D921" s="5"/>
      <c r="F921" s="5"/>
      <c r="H921" s="5"/>
      <c r="J921" s="5"/>
      <c r="L921" s="5"/>
    </row>
    <row r="922" spans="2:12" ht="18" customHeight="1">
      <c r="B922" s="5"/>
      <c r="D922" s="5"/>
      <c r="F922" s="5"/>
      <c r="H922" s="5"/>
      <c r="J922" s="5"/>
      <c r="L922" s="5"/>
    </row>
    <row r="923" spans="2:12" ht="18" customHeight="1">
      <c r="B923" s="5"/>
      <c r="D923" s="5"/>
      <c r="F923" s="5"/>
      <c r="H923" s="5"/>
      <c r="J923" s="5"/>
      <c r="L923" s="5"/>
    </row>
    <row r="924" spans="2:12" ht="18" customHeight="1">
      <c r="B924" s="5"/>
      <c r="D924" s="5"/>
      <c r="F924" s="5"/>
      <c r="H924" s="5"/>
      <c r="J924" s="5"/>
      <c r="L924" s="5"/>
    </row>
    <row r="925" spans="2:12" ht="18" customHeight="1">
      <c r="B925" s="5"/>
      <c r="D925" s="5"/>
      <c r="F925" s="5"/>
      <c r="H925" s="5"/>
      <c r="J925" s="5"/>
      <c r="L925" s="5"/>
    </row>
    <row r="926" spans="2:12" ht="18" customHeight="1">
      <c r="B926" s="5"/>
      <c r="D926" s="5"/>
      <c r="F926" s="5"/>
      <c r="H926" s="5"/>
      <c r="J926" s="5"/>
      <c r="L926" s="5"/>
    </row>
    <row r="927" spans="2:12" ht="18" customHeight="1">
      <c r="B927" s="5"/>
      <c r="D927" s="5"/>
      <c r="F927" s="5"/>
      <c r="H927" s="5"/>
      <c r="J927" s="5"/>
      <c r="L927" s="5"/>
    </row>
    <row r="928" spans="2:12" ht="18" customHeight="1">
      <c r="B928" s="5"/>
      <c r="D928" s="5"/>
      <c r="F928" s="5"/>
      <c r="H928" s="5"/>
      <c r="J928" s="5"/>
      <c r="L928" s="5"/>
    </row>
    <row r="929" spans="2:12" ht="18" customHeight="1">
      <c r="B929" s="5"/>
      <c r="D929" s="5"/>
      <c r="F929" s="5"/>
      <c r="H929" s="5"/>
      <c r="J929" s="5"/>
      <c r="L929" s="5"/>
    </row>
    <row r="930" spans="2:12" ht="18" customHeight="1">
      <c r="B930" s="5"/>
      <c r="D930" s="5"/>
      <c r="F930" s="5"/>
      <c r="H930" s="5"/>
      <c r="J930" s="5"/>
      <c r="L930" s="5"/>
    </row>
    <row r="931" spans="2:12" ht="18" customHeight="1">
      <c r="B931" s="5"/>
      <c r="D931" s="5"/>
      <c r="F931" s="5"/>
      <c r="H931" s="5"/>
      <c r="J931" s="5"/>
      <c r="L931" s="5"/>
    </row>
    <row r="932" spans="2:12" ht="18" customHeight="1">
      <c r="B932" s="5"/>
      <c r="D932" s="5"/>
      <c r="F932" s="5"/>
      <c r="H932" s="5"/>
      <c r="J932" s="5"/>
      <c r="L932" s="5"/>
    </row>
    <row r="933" spans="2:12" ht="18" customHeight="1">
      <c r="B933" s="5"/>
      <c r="D933" s="5"/>
      <c r="F933" s="5"/>
      <c r="H933" s="5"/>
      <c r="J933" s="5"/>
      <c r="L933" s="5"/>
    </row>
    <row r="934" spans="2:12" ht="18" customHeight="1">
      <c r="B934" s="5"/>
      <c r="D934" s="5"/>
      <c r="F934" s="5"/>
      <c r="H934" s="5"/>
      <c r="J934" s="5"/>
      <c r="L934" s="5"/>
    </row>
    <row r="935" spans="2:12" ht="18" customHeight="1">
      <c r="B935" s="5"/>
      <c r="D935" s="5"/>
      <c r="F935" s="5"/>
      <c r="H935" s="5"/>
      <c r="J935" s="5"/>
      <c r="L935" s="5"/>
    </row>
    <row r="936" spans="2:12" ht="18" customHeight="1">
      <c r="B936" s="5"/>
      <c r="D936" s="5"/>
      <c r="F936" s="5"/>
      <c r="H936" s="5"/>
      <c r="J936" s="5"/>
      <c r="L936" s="5"/>
    </row>
    <row r="937" spans="2:12" ht="18" customHeight="1">
      <c r="B937" s="5"/>
      <c r="D937" s="5"/>
      <c r="F937" s="5"/>
      <c r="H937" s="5"/>
      <c r="J937" s="5"/>
      <c r="L937" s="5"/>
    </row>
    <row r="938" spans="2:12" ht="18" customHeight="1">
      <c r="B938" s="5"/>
      <c r="D938" s="5"/>
      <c r="F938" s="5"/>
      <c r="H938" s="5"/>
      <c r="J938" s="5"/>
      <c r="L938" s="5"/>
    </row>
    <row r="939" spans="2:12" ht="18" customHeight="1">
      <c r="B939" s="5"/>
      <c r="D939" s="5"/>
      <c r="F939" s="5"/>
      <c r="H939" s="5"/>
      <c r="J939" s="5"/>
      <c r="L939" s="5"/>
    </row>
    <row r="940" spans="2:12" ht="18" customHeight="1">
      <c r="B940" s="5"/>
      <c r="D940" s="5"/>
      <c r="F940" s="5"/>
      <c r="H940" s="5"/>
      <c r="J940" s="5"/>
      <c r="L940" s="5"/>
    </row>
    <row r="941" spans="2:12" ht="18" customHeight="1">
      <c r="B941" s="5"/>
      <c r="D941" s="5"/>
      <c r="F941" s="5"/>
      <c r="H941" s="5"/>
      <c r="J941" s="5"/>
      <c r="L941" s="5"/>
    </row>
    <row r="942" spans="2:12" ht="18" customHeight="1">
      <c r="B942" s="5"/>
      <c r="D942" s="5"/>
      <c r="F942" s="5"/>
      <c r="H942" s="5"/>
      <c r="J942" s="5"/>
      <c r="L942" s="5"/>
    </row>
    <row r="943" spans="2:12" ht="18" customHeight="1">
      <c r="B943" s="5"/>
      <c r="D943" s="5"/>
      <c r="F943" s="5"/>
      <c r="H943" s="5"/>
      <c r="J943" s="5"/>
      <c r="L943" s="5"/>
    </row>
    <row r="944" spans="2:12" ht="18" customHeight="1">
      <c r="B944" s="5"/>
      <c r="D944" s="5"/>
      <c r="F944" s="5"/>
      <c r="H944" s="5"/>
      <c r="J944" s="5"/>
      <c r="L944" s="5"/>
    </row>
    <row r="945" spans="2:12" ht="18" customHeight="1">
      <c r="B945" s="5"/>
      <c r="D945" s="5"/>
      <c r="F945" s="5"/>
      <c r="H945" s="5"/>
      <c r="J945" s="5"/>
      <c r="L945" s="5"/>
    </row>
    <row r="946" spans="2:12" ht="18" customHeight="1">
      <c r="B946" s="5"/>
      <c r="D946" s="5"/>
      <c r="F946" s="5"/>
      <c r="H946" s="5"/>
      <c r="J946" s="5"/>
      <c r="L946" s="5"/>
    </row>
    <row r="947" spans="2:12" ht="18" customHeight="1">
      <c r="B947" s="5"/>
      <c r="D947" s="5"/>
      <c r="F947" s="5"/>
      <c r="H947" s="5"/>
      <c r="J947" s="5"/>
      <c r="L947" s="5"/>
    </row>
    <row r="948" spans="2:12" ht="18" customHeight="1">
      <c r="B948" s="5"/>
      <c r="D948" s="5"/>
      <c r="F948" s="5"/>
      <c r="H948" s="5"/>
      <c r="J948" s="5"/>
      <c r="L948" s="5"/>
    </row>
    <row r="949" spans="2:12" ht="18" customHeight="1">
      <c r="B949" s="5"/>
      <c r="D949" s="5"/>
      <c r="F949" s="5"/>
      <c r="H949" s="5"/>
      <c r="J949" s="5"/>
      <c r="L949" s="5"/>
    </row>
    <row r="950" spans="2:12" ht="18" customHeight="1">
      <c r="B950" s="5"/>
      <c r="D950" s="5"/>
      <c r="F950" s="5"/>
      <c r="H950" s="5"/>
      <c r="J950" s="5"/>
      <c r="L950" s="5"/>
    </row>
    <row r="951" spans="2:12" ht="18" customHeight="1">
      <c r="B951" s="5"/>
      <c r="D951" s="5"/>
      <c r="F951" s="5"/>
      <c r="H951" s="5"/>
      <c r="J951" s="5"/>
      <c r="L951" s="5"/>
    </row>
    <row r="952" spans="2:12" ht="18" customHeight="1">
      <c r="B952" s="5"/>
      <c r="D952" s="5"/>
      <c r="F952" s="5"/>
      <c r="H952" s="5"/>
      <c r="J952" s="5"/>
      <c r="L952" s="5"/>
    </row>
    <row r="953" spans="2:12" ht="18" customHeight="1">
      <c r="B953" s="5"/>
      <c r="D953" s="5"/>
      <c r="F953" s="5"/>
      <c r="H953" s="5"/>
      <c r="J953" s="5"/>
      <c r="L953" s="5"/>
    </row>
    <row r="954" spans="2:12" ht="18" customHeight="1">
      <c r="B954" s="5"/>
      <c r="D954" s="5"/>
      <c r="F954" s="5"/>
      <c r="H954" s="5"/>
      <c r="J954" s="5"/>
      <c r="L954" s="5"/>
    </row>
    <row r="955" spans="2:12" ht="18" customHeight="1">
      <c r="B955" s="5"/>
      <c r="D955" s="5"/>
      <c r="F955" s="5"/>
      <c r="H955" s="5"/>
      <c r="J955" s="5"/>
      <c r="L955" s="5"/>
    </row>
    <row r="956" spans="2:12" ht="18" customHeight="1">
      <c r="B956" s="5"/>
      <c r="D956" s="5"/>
      <c r="F956" s="5"/>
      <c r="H956" s="5"/>
      <c r="J956" s="5"/>
      <c r="L956" s="5"/>
    </row>
    <row r="957" spans="2:12" ht="18" customHeight="1">
      <c r="B957" s="5"/>
      <c r="D957" s="5"/>
      <c r="F957" s="5"/>
      <c r="H957" s="5"/>
      <c r="J957" s="5"/>
      <c r="L957" s="5"/>
    </row>
    <row r="958" spans="2:12" ht="18" customHeight="1">
      <c r="B958" s="5"/>
      <c r="D958" s="5"/>
      <c r="F958" s="5"/>
      <c r="H958" s="5"/>
      <c r="J958" s="5"/>
      <c r="L958" s="5"/>
    </row>
    <row r="959" spans="2:12" ht="18" customHeight="1">
      <c r="B959" s="5"/>
      <c r="D959" s="5"/>
      <c r="F959" s="5"/>
      <c r="H959" s="5"/>
      <c r="J959" s="5"/>
      <c r="L959" s="5"/>
    </row>
    <row r="960" spans="2:12" ht="18" customHeight="1">
      <c r="B960" s="5"/>
      <c r="D960" s="5"/>
      <c r="F960" s="5"/>
      <c r="H960" s="5"/>
      <c r="J960" s="5"/>
      <c r="L960" s="5"/>
    </row>
    <row r="961" spans="2:12" ht="18" customHeight="1">
      <c r="B961" s="5"/>
      <c r="D961" s="5"/>
      <c r="F961" s="5"/>
      <c r="H961" s="5"/>
      <c r="J961" s="5"/>
      <c r="L961" s="5"/>
    </row>
    <row r="962" spans="2:12" ht="18" customHeight="1">
      <c r="B962" s="5"/>
      <c r="D962" s="5"/>
      <c r="F962" s="5"/>
      <c r="H962" s="5"/>
      <c r="J962" s="5"/>
      <c r="L962" s="5"/>
    </row>
    <row r="963" spans="2:12" ht="18" customHeight="1">
      <c r="B963" s="5"/>
      <c r="D963" s="5"/>
      <c r="F963" s="5"/>
      <c r="H963" s="5"/>
      <c r="J963" s="5"/>
      <c r="L963" s="5"/>
    </row>
    <row r="964" spans="2:12" ht="18" customHeight="1">
      <c r="B964" s="5"/>
      <c r="D964" s="5"/>
      <c r="F964" s="5"/>
      <c r="H964" s="5"/>
      <c r="J964" s="5"/>
      <c r="L964" s="5"/>
    </row>
    <row r="965" spans="2:12" ht="18" customHeight="1">
      <c r="B965" s="5"/>
      <c r="D965" s="5"/>
      <c r="F965" s="5"/>
      <c r="H965" s="5"/>
      <c r="J965" s="5"/>
      <c r="L965" s="5"/>
    </row>
    <row r="966" spans="2:12" ht="18" customHeight="1">
      <c r="B966" s="5"/>
      <c r="D966" s="5"/>
      <c r="F966" s="5"/>
      <c r="H966" s="5"/>
      <c r="J966" s="5"/>
      <c r="L966" s="5"/>
    </row>
    <row r="967" spans="2:12" ht="18" customHeight="1">
      <c r="B967" s="5"/>
      <c r="D967" s="5"/>
      <c r="F967" s="5"/>
      <c r="H967" s="5"/>
      <c r="J967" s="5"/>
      <c r="L967" s="5"/>
    </row>
    <row r="968" spans="2:12" ht="18" customHeight="1">
      <c r="B968" s="5"/>
      <c r="D968" s="5"/>
      <c r="F968" s="5"/>
      <c r="H968" s="5"/>
      <c r="J968" s="5"/>
      <c r="L968" s="5"/>
    </row>
    <row r="969" spans="2:12" ht="18" customHeight="1">
      <c r="B969" s="5"/>
      <c r="D969" s="5"/>
      <c r="F969" s="5"/>
      <c r="H969" s="5"/>
      <c r="J969" s="5"/>
      <c r="L969" s="5"/>
    </row>
    <row r="970" spans="2:12" ht="18" customHeight="1">
      <c r="B970" s="5"/>
      <c r="D970" s="5"/>
      <c r="F970" s="5"/>
      <c r="H970" s="5"/>
      <c r="J970" s="5"/>
      <c r="L970" s="5"/>
    </row>
    <row r="971" spans="2:12" ht="18" customHeight="1">
      <c r="B971" s="5"/>
      <c r="D971" s="5"/>
      <c r="F971" s="5"/>
      <c r="H971" s="5"/>
      <c r="J971" s="5"/>
      <c r="L971" s="5"/>
    </row>
    <row r="972" spans="2:12" ht="18" customHeight="1">
      <c r="B972" s="5"/>
      <c r="D972" s="5"/>
      <c r="F972" s="5"/>
      <c r="H972" s="5"/>
      <c r="J972" s="5"/>
      <c r="L972" s="5"/>
    </row>
    <row r="973" spans="2:12" ht="18" customHeight="1">
      <c r="B973" s="5"/>
      <c r="D973" s="5"/>
      <c r="F973" s="5"/>
      <c r="H973" s="5"/>
      <c r="J973" s="5"/>
      <c r="L973" s="5"/>
    </row>
    <row r="974" spans="2:12" ht="18" customHeight="1">
      <c r="B974" s="5"/>
      <c r="D974" s="5"/>
      <c r="F974" s="5"/>
      <c r="H974" s="5"/>
      <c r="J974" s="5"/>
      <c r="L974" s="5"/>
    </row>
    <row r="975" spans="2:12" ht="18" customHeight="1">
      <c r="B975" s="5"/>
      <c r="D975" s="5"/>
      <c r="F975" s="5"/>
      <c r="H975" s="5"/>
      <c r="J975" s="5"/>
      <c r="L975" s="5"/>
    </row>
    <row r="976" spans="2:12" ht="18" customHeight="1">
      <c r="B976" s="5"/>
      <c r="D976" s="5"/>
      <c r="F976" s="5"/>
      <c r="H976" s="5"/>
      <c r="J976" s="5"/>
      <c r="L976" s="5"/>
    </row>
    <row r="977" spans="2:12" ht="18" customHeight="1">
      <c r="B977" s="5"/>
      <c r="D977" s="5"/>
      <c r="F977" s="5"/>
      <c r="H977" s="5"/>
      <c r="J977" s="5"/>
      <c r="L977" s="5"/>
    </row>
    <row r="978" spans="2:12" ht="18" customHeight="1">
      <c r="B978" s="5"/>
      <c r="D978" s="5"/>
      <c r="F978" s="5"/>
      <c r="H978" s="5"/>
      <c r="J978" s="5"/>
      <c r="L978" s="5"/>
    </row>
    <row r="979" spans="2:12" ht="18" customHeight="1">
      <c r="B979" s="5"/>
      <c r="D979" s="5"/>
      <c r="F979" s="5"/>
      <c r="H979" s="5"/>
      <c r="J979" s="5"/>
      <c r="L979" s="5"/>
    </row>
    <row r="980" spans="2:12" ht="18" customHeight="1">
      <c r="B980" s="5"/>
      <c r="D980" s="5"/>
      <c r="F980" s="5"/>
      <c r="H980" s="5"/>
      <c r="J980" s="5"/>
      <c r="L980" s="5"/>
    </row>
    <row r="981" spans="2:12" ht="18" customHeight="1">
      <c r="B981" s="5"/>
      <c r="D981" s="5"/>
      <c r="F981" s="5"/>
      <c r="H981" s="5"/>
      <c r="J981" s="5"/>
      <c r="L981" s="5"/>
    </row>
    <row r="982" spans="2:12" ht="18" customHeight="1">
      <c r="B982" s="5"/>
      <c r="D982" s="5"/>
      <c r="F982" s="5"/>
      <c r="H982" s="5"/>
      <c r="J982" s="5"/>
      <c r="L982" s="5"/>
    </row>
    <row r="983" spans="2:12" ht="18" customHeight="1">
      <c r="B983" s="5"/>
      <c r="D983" s="5"/>
      <c r="F983" s="5"/>
      <c r="H983" s="5"/>
      <c r="J983" s="5"/>
      <c r="L983" s="5"/>
    </row>
    <row r="984" spans="2:12" ht="18" customHeight="1">
      <c r="B984" s="5"/>
      <c r="D984" s="5"/>
      <c r="F984" s="5"/>
      <c r="H984" s="5"/>
      <c r="J984" s="5"/>
      <c r="L984" s="5"/>
    </row>
    <row r="985" spans="2:12" ht="18" customHeight="1">
      <c r="B985" s="5"/>
      <c r="D985" s="5"/>
      <c r="F985" s="5"/>
      <c r="H985" s="5"/>
      <c r="J985" s="5"/>
      <c r="L985" s="5"/>
    </row>
    <row r="986" spans="2:12" ht="18" customHeight="1">
      <c r="B986" s="5"/>
      <c r="D986" s="5"/>
      <c r="F986" s="5"/>
      <c r="H986" s="5"/>
      <c r="J986" s="5"/>
      <c r="L986" s="5"/>
    </row>
    <row r="987" spans="2:12" ht="18" customHeight="1">
      <c r="B987" s="5"/>
      <c r="D987" s="5"/>
      <c r="F987" s="5"/>
      <c r="H987" s="5"/>
      <c r="J987" s="5"/>
      <c r="L987" s="5"/>
    </row>
    <row r="988" spans="2:12" ht="18" customHeight="1">
      <c r="B988" s="5"/>
      <c r="D988" s="5"/>
      <c r="F988" s="5"/>
      <c r="H988" s="5"/>
      <c r="J988" s="5"/>
      <c r="L988" s="5"/>
    </row>
    <row r="989" spans="2:12" ht="18" customHeight="1">
      <c r="B989" s="5"/>
      <c r="D989" s="5"/>
      <c r="F989" s="5"/>
      <c r="H989" s="5"/>
      <c r="J989" s="5"/>
      <c r="L989" s="5"/>
    </row>
    <row r="990" spans="2:12" ht="18" customHeight="1">
      <c r="B990" s="5"/>
      <c r="D990" s="5"/>
      <c r="F990" s="5"/>
      <c r="H990" s="5"/>
      <c r="J990" s="5"/>
      <c r="L990" s="5"/>
    </row>
    <row r="991" spans="2:12" ht="18" customHeight="1">
      <c r="B991" s="5"/>
      <c r="D991" s="5"/>
      <c r="F991" s="5"/>
      <c r="H991" s="5"/>
      <c r="J991" s="5"/>
      <c r="L991" s="5"/>
    </row>
    <row r="992" spans="2:12" ht="18" customHeight="1">
      <c r="B992" s="5"/>
      <c r="D992" s="5"/>
      <c r="F992" s="5"/>
      <c r="H992" s="5"/>
      <c r="J992" s="5"/>
      <c r="L992" s="5"/>
    </row>
    <row r="993" spans="2:12" ht="18" customHeight="1">
      <c r="B993" s="5"/>
      <c r="D993" s="5"/>
      <c r="F993" s="5"/>
      <c r="H993" s="5"/>
      <c r="J993" s="5"/>
      <c r="L993" s="5"/>
    </row>
    <row r="994" spans="2:12" ht="18" customHeight="1">
      <c r="B994" s="5"/>
      <c r="D994" s="5"/>
      <c r="F994" s="5"/>
      <c r="H994" s="5"/>
      <c r="J994" s="5"/>
      <c r="L994" s="5"/>
    </row>
    <row r="995" spans="2:12" ht="18" customHeight="1">
      <c r="B995" s="5"/>
      <c r="D995" s="5"/>
      <c r="F995" s="5"/>
      <c r="H995" s="5"/>
      <c r="J995" s="5"/>
      <c r="L995" s="5"/>
    </row>
    <row r="996" spans="2:12" ht="18" customHeight="1">
      <c r="B996" s="5"/>
      <c r="D996" s="5"/>
      <c r="F996" s="5"/>
      <c r="H996" s="5"/>
      <c r="J996" s="5"/>
      <c r="L996" s="5"/>
    </row>
    <row r="997" spans="2:12" ht="18" customHeight="1">
      <c r="B997" s="5"/>
      <c r="D997" s="5"/>
      <c r="F997" s="5"/>
      <c r="H997" s="5"/>
      <c r="J997" s="5"/>
      <c r="L997" s="5"/>
    </row>
    <row r="998" spans="2:12" ht="18" customHeight="1">
      <c r="B998" s="5"/>
      <c r="D998" s="5"/>
      <c r="F998" s="5"/>
      <c r="H998" s="5"/>
      <c r="J998" s="5"/>
      <c r="L998" s="5"/>
    </row>
    <row r="999" spans="2:12" ht="18" customHeight="1">
      <c r="B999" s="5"/>
      <c r="D999" s="5"/>
      <c r="F999" s="5"/>
      <c r="H999" s="5"/>
      <c r="J999" s="5"/>
      <c r="L999" s="5"/>
    </row>
    <row r="1000" spans="2:12" ht="18" customHeight="1">
      <c r="B1000" s="5"/>
      <c r="D1000" s="5"/>
      <c r="F1000" s="5"/>
      <c r="H1000" s="5"/>
      <c r="J1000" s="5"/>
      <c r="L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34"/>
  <sheetViews>
    <sheetView workbookViewId="0">
      <selection activeCell="H33" sqref="H33"/>
    </sheetView>
  </sheetViews>
  <sheetFormatPr baseColWidth="10" defaultColWidth="8.83203125" defaultRowHeight="15"/>
  <cols>
    <col min="1" max="1" width="13" style="16" bestFit="1" customWidth="1"/>
    <col min="2" max="2" width="13" style="7" bestFit="1" customWidth="1"/>
    <col min="3" max="3" width="12.6640625" style="7" bestFit="1" customWidth="1"/>
    <col min="4" max="13" width="13" style="7" bestFit="1" customWidth="1"/>
  </cols>
  <sheetData>
    <row r="1" spans="1:13" ht="15.7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.75" customHeight="1">
      <c r="A2" s="4">
        <v>45406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.75" customHeight="1">
      <c r="A3" s="4">
        <v>45408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75" customHeight="1">
      <c r="A4" s="4">
        <v>45456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5.75" customHeight="1">
      <c r="A5" s="4">
        <v>45489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 customHeight="1">
      <c r="A6" s="4">
        <v>45490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5.75" customHeight="1">
      <c r="A7" s="4">
        <v>45517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5.75" customHeight="1">
      <c r="A8" s="4">
        <v>45616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5.75" customHeight="1">
      <c r="A9" s="4">
        <v>45616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.75" customHeight="1">
      <c r="A10" s="4">
        <v>45639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5.75" customHeight="1">
      <c r="A11" s="4">
        <v>45642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75" customHeight="1">
      <c r="A12" s="4">
        <v>45673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5.75" customHeight="1">
      <c r="A13" s="4">
        <v>45681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.75" customHeight="1">
      <c r="A14" s="4">
        <v>45692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.75" customHeight="1">
      <c r="A15" s="4">
        <v>45694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.75" customHeight="1">
      <c r="A16" s="22">
        <v>45715</v>
      </c>
      <c r="B16" s="76">
        <v>-1.0755E-16</v>
      </c>
      <c r="C16" s="77">
        <v>1.0529E-18</v>
      </c>
      <c r="D16" s="77">
        <v>-1.0815E-16</v>
      </c>
      <c r="E16" s="77">
        <v>1.05E-18</v>
      </c>
      <c r="F16" s="76">
        <v>-1.669E-17</v>
      </c>
      <c r="G16" s="77">
        <v>2.8739999999999999E-18</v>
      </c>
      <c r="H16" s="77">
        <v>-1.6975000000000001E-17</v>
      </c>
      <c r="I16" s="77">
        <v>3.1170000000000001E-18</v>
      </c>
      <c r="J16" s="76">
        <v>-1.2310999999999999E-16</v>
      </c>
      <c r="K16" s="77">
        <v>2.9810000000000002E-18</v>
      </c>
      <c r="L16" s="77">
        <v>-1.2463999999999999E-16</v>
      </c>
      <c r="M16" s="77">
        <v>3.2339999999999999E-18</v>
      </c>
    </row>
    <row r="17" spans="1:13" ht="15.75" customHeight="1">
      <c r="A17" s="4">
        <v>45716</v>
      </c>
      <c r="B17" s="77">
        <v>-1.03E-16</v>
      </c>
      <c r="C17" s="77">
        <v>1.0874000000000001E-18</v>
      </c>
      <c r="D17" s="77">
        <v>-1.0327E-16</v>
      </c>
      <c r="E17" s="77">
        <v>1.0700000000000001E-18</v>
      </c>
      <c r="F17" s="77">
        <v>-1.1030999999999999E-17</v>
      </c>
      <c r="G17" s="77">
        <v>3.1140000000000001E-18</v>
      </c>
      <c r="H17" s="77">
        <v>-1.1478E-17</v>
      </c>
      <c r="I17" s="77">
        <v>3.062E-18</v>
      </c>
      <c r="J17" s="77">
        <v>-1.1457000000000001E-16</v>
      </c>
      <c r="K17" s="77">
        <v>2.8549999999999998E-18</v>
      </c>
      <c r="L17" s="77">
        <v>-1.1505999999999999E-16</v>
      </c>
      <c r="M17" s="77">
        <v>2.772E-18</v>
      </c>
    </row>
    <row r="18" spans="1:13" ht="15.75" customHeight="1">
      <c r="A18" s="22">
        <v>45720</v>
      </c>
      <c r="B18" s="76">
        <v>-1.0429E-16</v>
      </c>
      <c r="C18" s="77">
        <v>1.0758000000000001E-18</v>
      </c>
      <c r="D18" s="77">
        <v>-1.0427E-16</v>
      </c>
      <c r="E18" s="77">
        <v>1.0810000000000001E-18</v>
      </c>
      <c r="F18" s="76">
        <v>-1.5567999999999999E-17</v>
      </c>
      <c r="G18" s="77">
        <v>3.5560000000000002E-18</v>
      </c>
      <c r="H18" s="77">
        <v>-1.5356999999999999E-17</v>
      </c>
      <c r="I18" s="77">
        <v>3.6019999999999998E-18</v>
      </c>
      <c r="J18" s="76">
        <v>-1.1944E-16</v>
      </c>
      <c r="K18" s="77">
        <v>3.5339999999999998E-18</v>
      </c>
      <c r="L18" s="77">
        <v>-1.1975E-16</v>
      </c>
      <c r="M18" s="77">
        <v>3.5849999999999998E-18</v>
      </c>
    </row>
    <row r="19" spans="1:13" ht="15.75" customHeight="1">
      <c r="A19" s="4">
        <v>45722</v>
      </c>
      <c r="B19" s="77">
        <v>-1.0507E-16</v>
      </c>
      <c r="C19" s="77">
        <v>1.3535E-18</v>
      </c>
      <c r="D19" s="77">
        <v>-1.0507E-16</v>
      </c>
      <c r="E19" s="77">
        <v>1.3770000000000001E-18</v>
      </c>
      <c r="F19" s="77">
        <v>-1.5694E-17</v>
      </c>
      <c r="G19" s="77">
        <v>3.8039999999999999E-18</v>
      </c>
      <c r="H19" s="77">
        <v>-1.5801000000000001E-17</v>
      </c>
      <c r="I19" s="77">
        <v>3.794E-18</v>
      </c>
      <c r="J19" s="77">
        <v>-1.2245E-16</v>
      </c>
      <c r="K19" s="77">
        <v>3.8050000000000002E-18</v>
      </c>
      <c r="L19" s="77">
        <v>-1.2261000000000001E-16</v>
      </c>
      <c r="M19" s="77">
        <v>3.8050000000000002E-18</v>
      </c>
    </row>
    <row r="20" spans="1:13" ht="15.75" customHeight="1">
      <c r="A20" s="22">
        <v>45723</v>
      </c>
      <c r="B20" s="76">
        <v>-1.0317999999999999E-16</v>
      </c>
      <c r="C20" s="77">
        <v>1.417E-18</v>
      </c>
      <c r="D20" s="77">
        <v>-1.0281E-16</v>
      </c>
      <c r="E20" s="77">
        <v>1.433E-18</v>
      </c>
      <c r="F20" s="76">
        <v>-2.5419999999999999E-17</v>
      </c>
      <c r="G20" s="77">
        <v>4.3470000000000001E-18</v>
      </c>
      <c r="H20" s="77">
        <v>-2.5358999999999999E-17</v>
      </c>
      <c r="I20" s="77">
        <v>4.4109999999999999E-18</v>
      </c>
      <c r="J20" s="76">
        <v>-1.2619000000000001E-16</v>
      </c>
      <c r="K20" s="77">
        <v>3.023E-18</v>
      </c>
      <c r="L20" s="77">
        <v>-1.2525999999999999E-16</v>
      </c>
      <c r="M20" s="77">
        <v>3.0259999999999999E-18</v>
      </c>
    </row>
    <row r="21" spans="1:13" ht="15.75" customHeight="1">
      <c r="A21" s="4">
        <v>45729</v>
      </c>
      <c r="B21" s="77">
        <v>-1.06608E-16</v>
      </c>
      <c r="C21" s="77">
        <v>1.0353979999999999E-18</v>
      </c>
      <c r="D21" s="77">
        <v>-1.0691999999999999E-16</v>
      </c>
      <c r="E21" s="77">
        <v>1.039E-18</v>
      </c>
      <c r="F21" s="77">
        <v>-1.4986999999999999E-17</v>
      </c>
      <c r="G21" s="77">
        <v>3.5260000000000003E-18</v>
      </c>
      <c r="H21" s="77">
        <v>-1.4704000000000001E-17</v>
      </c>
      <c r="I21" s="77">
        <v>3.4810000000000002E-18</v>
      </c>
      <c r="J21" s="77">
        <v>-1.2026000000000001E-16</v>
      </c>
      <c r="K21" s="77">
        <v>2.837E-18</v>
      </c>
      <c r="L21" s="77">
        <v>-1.1997E-16</v>
      </c>
      <c r="M21" s="77">
        <v>2.8530000000000001E-18</v>
      </c>
    </row>
    <row r="22" spans="1:13" ht="15.75" customHeight="1">
      <c r="A22" s="22">
        <v>45734</v>
      </c>
      <c r="B22" s="76">
        <v>-1.0467999999999999E-16</v>
      </c>
      <c r="C22" s="77">
        <v>1.32102E-18</v>
      </c>
      <c r="D22" s="77">
        <v>-1.0464E-16</v>
      </c>
      <c r="E22" s="77">
        <v>1.3360000000000001E-18</v>
      </c>
      <c r="F22" s="76">
        <v>-1.5762E-17</v>
      </c>
      <c r="G22" s="77">
        <v>5.7959999999999998E-18</v>
      </c>
      <c r="H22" s="77">
        <v>-1.5693000000000001E-17</v>
      </c>
      <c r="I22" s="77">
        <v>5.831E-18</v>
      </c>
      <c r="J22" s="76">
        <v>-1.1811000000000001E-16</v>
      </c>
      <c r="K22" s="77">
        <v>7.4079999999999994E-18</v>
      </c>
      <c r="L22" s="77">
        <v>-1.1810000000000001E-16</v>
      </c>
      <c r="M22" s="77">
        <v>7.5189999999999998E-18</v>
      </c>
    </row>
    <row r="23" spans="1:13" ht="15.75" customHeight="1">
      <c r="A23" s="4">
        <v>45736</v>
      </c>
      <c r="B23" s="77">
        <v>-1.0707999999999999E-16</v>
      </c>
      <c r="C23" s="77">
        <v>8.7103300000000009E-19</v>
      </c>
      <c r="D23" s="77">
        <v>-1.0699E-16</v>
      </c>
      <c r="E23" s="77">
        <v>9.1800000000000005E-19</v>
      </c>
      <c r="F23" s="77">
        <v>-1.5513000000000001E-17</v>
      </c>
      <c r="G23" s="77">
        <v>2.791E-18</v>
      </c>
      <c r="H23" s="77">
        <v>-1.6697E-17</v>
      </c>
      <c r="I23" s="77">
        <v>2.774E-18</v>
      </c>
      <c r="J23" s="77">
        <v>-1.2190699999999999E-16</v>
      </c>
      <c r="K23" s="77">
        <v>2.7230000000000001E-18</v>
      </c>
      <c r="L23" s="77">
        <v>-1.2366E-16</v>
      </c>
      <c r="M23" s="77">
        <v>2.755E-18</v>
      </c>
    </row>
    <row r="24" spans="1:13" ht="15.75" customHeight="1">
      <c r="A24" s="4">
        <v>45737</v>
      </c>
      <c r="B24" s="77">
        <v>-1.0847E-16</v>
      </c>
      <c r="C24" s="77">
        <v>9.9902499999999997E-19</v>
      </c>
      <c r="D24" s="77">
        <v>-1.0867E-16</v>
      </c>
      <c r="E24" s="77">
        <v>1.1699999999999999E-18</v>
      </c>
      <c r="F24" s="77">
        <v>-1.0617E-17</v>
      </c>
      <c r="G24" s="77">
        <v>3.8020000000000003E-18</v>
      </c>
      <c r="H24" s="77">
        <v>-9.5029999999999994E-18</v>
      </c>
      <c r="I24" s="77">
        <v>4.0759999999999997E-18</v>
      </c>
      <c r="J24" s="77">
        <v>-1.2165999999999999E-16</v>
      </c>
      <c r="K24" s="77">
        <v>2.958E-18</v>
      </c>
      <c r="L24" s="77">
        <v>-1.2164999999999999E-16</v>
      </c>
      <c r="M24" s="77">
        <v>2.9400000000000001E-18</v>
      </c>
    </row>
    <row r="25" spans="1:13" ht="15.75" customHeight="1">
      <c r="B25" s="6" t="e">
        <f>SUMPRODUCT(MCM!B16:B24,1/MCM!C16:C24^2)/SUM(1/MCM!C16:C24^2)</f>
        <v>#VALUE!</v>
      </c>
      <c r="D25" s="6" t="e">
        <f>SUMPRODUCT(MCM!D16:D24,1/MCM!E16:E24^2)/SUM(1/MCM!E16:E24^2)</f>
        <v>#VALUE!</v>
      </c>
      <c r="F25" s="6" t="e">
        <f>SUMPRODUCT(MCM!F16:F24,1/MCM!G16:G24^2)/SUM(1/MCM!G16:G24^2)</f>
        <v>#VALUE!</v>
      </c>
      <c r="H25" s="6" t="e">
        <f>SUMPRODUCT(MCM!H16:H24,1/MCM!I16:I24^2)/SUM(1/MCM!I16:I24^2)</f>
        <v>#VALUE!</v>
      </c>
      <c r="J25" s="6" t="e">
        <f>SUMPRODUCT(MCM!J16:J24,1/MCM!K16:K24^2)/SUM(1/MCM!K16:K24^2)</f>
        <v>#VALUE!</v>
      </c>
      <c r="L25" s="6" t="e">
        <f>SUMPRODUCT(MCM!L16:L24,1/MCM!M16:M24^2)/SUM(1/MCM!M16:M24^2)</f>
        <v>#VALUE!</v>
      </c>
    </row>
    <row r="26" spans="1:13" ht="15.75" customHeight="1">
      <c r="D26" s="6" t="e">
        <f>B25-D25</f>
        <v>#VALUE!</v>
      </c>
      <c r="H26" s="6" t="e">
        <f>F25-H25</f>
        <v>#VALUE!</v>
      </c>
      <c r="L26" s="6" t="e">
        <f>J25-L25</f>
        <v>#VALUE!</v>
      </c>
    </row>
    <row r="27" spans="1:13" ht="15.75" customHeight="1">
      <c r="D27" s="6"/>
      <c r="H27" s="6"/>
    </row>
    <row r="28" spans="1:13" ht="15.75" customHeight="1">
      <c r="D28" s="6"/>
      <c r="H28" s="6"/>
    </row>
    <row r="29" spans="1:13" ht="15.75" customHeight="1">
      <c r="D29" s="6"/>
      <c r="H29" s="6"/>
    </row>
    <row r="30" spans="1:13" ht="15.75" customHeight="1">
      <c r="D30" s="6"/>
      <c r="H30" s="6"/>
    </row>
    <row r="31" spans="1:13" ht="15.75" customHeight="1">
      <c r="D31" s="6"/>
      <c r="H31" s="6"/>
    </row>
    <row r="32" spans="1:13" ht="15.75" customHeight="1">
      <c r="D32" s="6"/>
      <c r="H32" s="6"/>
    </row>
    <row r="33" spans="4:8" ht="15.75" customHeight="1">
      <c r="D33" s="6"/>
      <c r="H33" s="6"/>
    </row>
    <row r="34" spans="4:8" ht="15.75" customHeight="1">
      <c r="D34" s="6"/>
      <c r="H3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S39"/>
  <sheetViews>
    <sheetView topLeftCell="M1" workbookViewId="0">
      <selection activeCell="Y2" sqref="Y2"/>
    </sheetView>
  </sheetViews>
  <sheetFormatPr baseColWidth="10" defaultColWidth="8.83203125" defaultRowHeight="15"/>
  <cols>
    <col min="1" max="1" width="12.6640625" style="45" bestFit="1" customWidth="1"/>
    <col min="2" max="2" width="14.6640625" style="46" bestFit="1" customWidth="1"/>
    <col min="3" max="3" width="13" style="7" bestFit="1" customWidth="1"/>
    <col min="4" max="4" width="13" style="46" bestFit="1" customWidth="1"/>
    <col min="5" max="5" width="13" style="7" bestFit="1" customWidth="1"/>
    <col min="6" max="6" width="13" style="46" bestFit="1" customWidth="1"/>
    <col min="7" max="7" width="13" style="7" bestFit="1" customWidth="1"/>
    <col min="8" max="8" width="13" style="46" bestFit="1" customWidth="1"/>
    <col min="9" max="9" width="13" style="7" bestFit="1" customWidth="1"/>
    <col min="10" max="10" width="13" style="46" bestFit="1" customWidth="1"/>
    <col min="11" max="11" width="13" style="7" bestFit="1" customWidth="1"/>
    <col min="12" max="12" width="13" style="46" bestFit="1" customWidth="1"/>
    <col min="13" max="13" width="13" style="7" bestFit="1" customWidth="1"/>
    <col min="14" max="14" width="13" style="43" bestFit="1" customWidth="1"/>
    <col min="15" max="15" width="13" bestFit="1" customWidth="1"/>
    <col min="16" max="16" width="13" style="45" bestFit="1" customWidth="1"/>
    <col min="17" max="17" width="13" style="46" bestFit="1" customWidth="1"/>
    <col min="18" max="18" width="13" style="7" bestFit="1" customWidth="1"/>
    <col min="19" max="19" width="13" style="46" bestFit="1" customWidth="1"/>
    <col min="20" max="20" width="13" style="7" bestFit="1" customWidth="1"/>
    <col min="21" max="21" width="13" style="46" bestFit="1" customWidth="1"/>
    <col min="22" max="22" width="13" style="7" bestFit="1" customWidth="1"/>
    <col min="23" max="23" width="13" style="46" bestFit="1" customWidth="1"/>
    <col min="24" max="24" width="13" style="7" bestFit="1" customWidth="1"/>
    <col min="25" max="25" width="13" style="46" bestFit="1" customWidth="1"/>
    <col min="26" max="26" width="13" style="7" bestFit="1" customWidth="1"/>
    <col min="27" max="27" width="13" style="46" bestFit="1" customWidth="1"/>
    <col min="28" max="28" width="13" style="7" bestFit="1" customWidth="1"/>
    <col min="29" max="29" width="13" style="43" bestFit="1" customWidth="1"/>
    <col min="30" max="30" width="13" style="38" bestFit="1" customWidth="1"/>
    <col min="31" max="45" width="13" bestFit="1" customWidth="1"/>
  </cols>
  <sheetData>
    <row r="1" spans="1:45" ht="18" customHeight="1">
      <c r="A1" s="4" t="s">
        <v>0</v>
      </c>
      <c r="B1" s="30" t="s">
        <v>1</v>
      </c>
      <c r="C1" s="3" t="s">
        <v>2</v>
      </c>
      <c r="D1" s="31" t="s">
        <v>3</v>
      </c>
      <c r="E1" s="3" t="s">
        <v>4</v>
      </c>
      <c r="F1" s="30" t="s">
        <v>5</v>
      </c>
      <c r="G1" s="3" t="s">
        <v>6</v>
      </c>
      <c r="H1" s="31" t="s">
        <v>7</v>
      </c>
      <c r="I1" s="3" t="s">
        <v>8</v>
      </c>
      <c r="J1" s="30" t="s">
        <v>9</v>
      </c>
      <c r="K1" s="3" t="s">
        <v>10</v>
      </c>
      <c r="L1" s="31" t="s">
        <v>11</v>
      </c>
      <c r="M1" s="3" t="s">
        <v>12</v>
      </c>
      <c r="N1" s="32" t="s">
        <v>22</v>
      </c>
      <c r="O1" s="33"/>
      <c r="P1" s="4" t="s">
        <v>0</v>
      </c>
      <c r="Q1" s="30" t="s">
        <v>1</v>
      </c>
      <c r="R1" s="3" t="s">
        <v>2</v>
      </c>
      <c r="S1" s="31" t="s">
        <v>3</v>
      </c>
      <c r="T1" s="3" t="s">
        <v>4</v>
      </c>
      <c r="U1" s="30" t="s">
        <v>5</v>
      </c>
      <c r="V1" s="3" t="s">
        <v>6</v>
      </c>
      <c r="W1" s="31" t="s">
        <v>7</v>
      </c>
      <c r="X1" s="3" t="s">
        <v>8</v>
      </c>
      <c r="Y1" s="30" t="s">
        <v>9</v>
      </c>
      <c r="Z1" s="3" t="s">
        <v>10</v>
      </c>
      <c r="AA1" s="31" t="s">
        <v>11</v>
      </c>
      <c r="AB1" s="3" t="s">
        <v>12</v>
      </c>
      <c r="AC1" s="32" t="s">
        <v>23</v>
      </c>
      <c r="AD1" s="33"/>
    </row>
    <row r="2" spans="1:45" ht="18" customHeight="1">
      <c r="A2" s="34">
        <v>45715</v>
      </c>
      <c r="B2" s="78">
        <f>MCM!B$16-KK!B$16</f>
        <v>-4.1106596582800362E-19</v>
      </c>
      <c r="C2" s="78">
        <f>SQRT(MCM!C16^2+KK!C16^2)</f>
        <v>1.4861542388833483E-18</v>
      </c>
      <c r="D2" s="78">
        <f>MCM!D16-KK!D16</f>
        <v>-6.1751979142500511E-19</v>
      </c>
      <c r="E2" s="78">
        <f>SQRT(MCM!E16^2+KK!E16^2)</f>
        <v>1.5237720297752555E-18</v>
      </c>
      <c r="F2" s="78">
        <f>MCM!F16-KK!F16</f>
        <v>-5.0559294793020074E-19</v>
      </c>
      <c r="G2" s="78">
        <f>SQRT(MCM!G16^2+KK!G16^2)</f>
        <v>4.0966459815058064E-18</v>
      </c>
      <c r="H2" s="78">
        <f>MCM!H16-KK!H16</f>
        <v>-4.3222415355620073E-19</v>
      </c>
      <c r="I2" s="78">
        <f>SQRT(MCM!I16^2+KK!I16^2)</f>
        <v>4.4714713858828958E-18</v>
      </c>
      <c r="J2" s="78">
        <f>MCM!J16-KK!J16</f>
        <v>-6.0077862281985245E-20</v>
      </c>
      <c r="K2" s="78">
        <f>SQRT(MCM!K16^2+KK!K16^2)</f>
        <v>4.274828564239326E-18</v>
      </c>
      <c r="L2" s="78">
        <f>MCM!L16-KK!L16</f>
        <v>-6.5864756611099779E-19</v>
      </c>
      <c r="M2" s="78">
        <f>SQRT(MCM!M16^2+KK!M16^2)</f>
        <v>4.6585695470717673E-18</v>
      </c>
      <c r="N2" s="36"/>
      <c r="O2" s="33"/>
      <c r="P2" s="37">
        <v>45715</v>
      </c>
      <c r="Q2" s="78">
        <f>MCM!B16-NN!B16</f>
        <v>-6.2000000000001057E-19</v>
      </c>
      <c r="R2" s="78">
        <f>MCM!C16-NN!C16</f>
        <v>-2.5709999999999996E-19</v>
      </c>
      <c r="S2" s="78">
        <f>MCM!D16-NN!D16</f>
        <v>-6.2000000000001057E-19</v>
      </c>
      <c r="T2" s="78">
        <f>MCM!E16-NN!E16</f>
        <v>-2.5000000000000002E-19</v>
      </c>
      <c r="U2" s="78">
        <f>MCM!F16-NN!F16</f>
        <v>-6.2300000000000046E-19</v>
      </c>
      <c r="V2" s="78">
        <f>MCM!G16-NN!G16</f>
        <v>-4.9600000000000029E-19</v>
      </c>
      <c r="W2" s="78">
        <f>MCM!H16-NN!H16</f>
        <v>-6.300000000000005E-19</v>
      </c>
      <c r="X2" s="78">
        <f>MCM!I16-NN!I16</f>
        <v>-3.6299999999999992E-19</v>
      </c>
      <c r="Y2" s="78">
        <f>MCM!J16-NN!J16</f>
        <v>-3.9999999999999171E-19</v>
      </c>
      <c r="Z2" s="78">
        <f>MCM!K16-NN!K16</f>
        <v>-4.9899999999999981E-19</v>
      </c>
      <c r="AA2" s="78">
        <f>MCM!L16-NN!L16</f>
        <v>-7.3999999999998836E-19</v>
      </c>
      <c r="AB2" s="78">
        <f>MCM!M16-NN!M16</f>
        <v>-3.7600000000000016E-19</v>
      </c>
      <c r="AC2" s="36"/>
      <c r="AD2" s="33"/>
    </row>
    <row r="3" spans="1:45" ht="18" customHeight="1">
      <c r="A3" s="37">
        <v>45716</v>
      </c>
      <c r="B3" s="78">
        <f>MCM!B17-KK!B17</f>
        <v>-4.281683630419938E-19</v>
      </c>
      <c r="C3" s="78">
        <f>SQRT(MCM!C17^2+KK!C17^2)</f>
        <v>1.557453438636437E-18</v>
      </c>
      <c r="D3" s="78">
        <f>MCM!D17-KK!D17</f>
        <v>-1.038109144023002E-18</v>
      </c>
      <c r="E3" s="78">
        <f>SQRT(MCM!E17^2+KK!E17^2)</f>
        <v>1.5264719567867835E-18</v>
      </c>
      <c r="F3" s="78">
        <f>MCM!F17-KK!F17</f>
        <v>-5.7576711908369855E-19</v>
      </c>
      <c r="G3" s="78">
        <f>SQRT(MCM!G17^2+KK!G17^2)</f>
        <v>4.4879522317626438E-18</v>
      </c>
      <c r="H3" s="78">
        <f>MCM!H17-KK!H17</f>
        <v>-4.8801613655879987E-19</v>
      </c>
      <c r="I3" s="78">
        <f>SQRT(MCM!I17^2+KK!I17^2)</f>
        <v>4.4590200738168489E-18</v>
      </c>
      <c r="J3" s="78">
        <f>MCM!J17-KK!J17</f>
        <v>-6.4783300904500653E-19</v>
      </c>
      <c r="K3" s="78">
        <f>SQRT(MCM!K17^2+KK!K17^2)</f>
        <v>4.0403267962278619E-18</v>
      </c>
      <c r="L3" s="78">
        <f>MCM!L17-KK!L17</f>
        <v>-1.4876900912039784E-18</v>
      </c>
      <c r="M3" s="78">
        <f>SQRT(MCM!M17^2+KK!M17^2)</f>
        <v>3.9931770098097767E-18</v>
      </c>
      <c r="N3" s="36"/>
      <c r="O3" s="33"/>
      <c r="P3" s="37">
        <v>45716</v>
      </c>
      <c r="Q3" s="78">
        <f>MCM!B17-NN!B17</f>
        <v>-5.399999999999925E-19</v>
      </c>
      <c r="R3" s="78">
        <f>MCM!C17-NN!C17</f>
        <v>-6.259999999999996E-20</v>
      </c>
      <c r="S3" s="78">
        <f>MCM!D17-NN!D17</f>
        <v>-5.4000000000000483E-19</v>
      </c>
      <c r="T3" s="78">
        <f>MCM!E17-NN!E17</f>
        <v>-4.9999999999999927E-20</v>
      </c>
      <c r="U3" s="78">
        <f>MCM!F17-NN!F17</f>
        <v>-6.3299999999999964E-19</v>
      </c>
      <c r="V3" s="78">
        <f>MCM!G17-NN!G17</f>
        <v>-6.6599999999999977E-19</v>
      </c>
      <c r="W3" s="78">
        <f>MCM!H17-NN!H17</f>
        <v>-6.3500000000000009E-19</v>
      </c>
      <c r="X3" s="78">
        <f>MCM!I17-NN!I17</f>
        <v>-7.0800000000000001E-19</v>
      </c>
      <c r="Y3" s="78">
        <f>MCM!J17-NN!J17</f>
        <v>-7.1000000000001548E-19</v>
      </c>
      <c r="Z3" s="78">
        <f>MCM!K17-NN!K17</f>
        <v>-2.5000000000000252E-20</v>
      </c>
      <c r="AA3" s="78">
        <f>MCM!L17-NN!L17</f>
        <v>-6.799999999999933E-19</v>
      </c>
      <c r="AB3" s="78">
        <f>MCM!M17-NN!M17</f>
        <v>-1.1800000000000007E-19</v>
      </c>
      <c r="AC3" s="36"/>
      <c r="AD3" s="33"/>
    </row>
    <row r="4" spans="1:45" ht="18" customHeight="1">
      <c r="A4" s="34">
        <v>45720</v>
      </c>
      <c r="B4" s="78">
        <f>MCM!B18-KK!B18</f>
        <v>-6.3020050561399842E-19</v>
      </c>
      <c r="C4" s="78">
        <f>SQRT(MCM!C18^2+KK!C18^2)</f>
        <v>1.4857459526110262E-18</v>
      </c>
      <c r="D4" s="78">
        <f>MCM!D18-KK!D18</f>
        <v>-9.7185634487700864E-19</v>
      </c>
      <c r="E4" s="78">
        <f>SQRT(MCM!E18^2+KK!E18^2)</f>
        <v>1.4892624612423958E-18</v>
      </c>
      <c r="F4" s="78">
        <f>MCM!F18-KK!F18</f>
        <v>-4.2524962762159943E-19</v>
      </c>
      <c r="G4" s="78">
        <f>SQRT(MCM!G18^2+KK!G18^2)</f>
        <v>5.1632984051506312E-18</v>
      </c>
      <c r="H4" s="78">
        <f>MCM!H18-KK!H18</f>
        <v>-3.4214797376299971E-19</v>
      </c>
      <c r="I4" s="78">
        <f>SQRT(MCM!I18^2+KK!I18^2)</f>
        <v>5.2115025716001865E-18</v>
      </c>
      <c r="J4" s="78">
        <f>MCM!J18-KK!J18</f>
        <v>-5.2301419367300543E-19</v>
      </c>
      <c r="K4" s="78">
        <f>SQRT(MCM!K18^2+KK!K18^2)</f>
        <v>5.182758853322498E-18</v>
      </c>
      <c r="L4" s="78">
        <f>MCM!L18-KK!L18</f>
        <v>-1.1680103790749947E-18</v>
      </c>
      <c r="M4" s="78">
        <f>SQRT(MCM!M18^2+KK!M18^2)</f>
        <v>5.2217611841027626E-18</v>
      </c>
      <c r="N4" s="36"/>
      <c r="O4" s="33"/>
      <c r="P4" s="37">
        <v>45720</v>
      </c>
      <c r="Q4" s="78">
        <f>MCM!B18-NN!B18</f>
        <v>-6.900000000000048E-19</v>
      </c>
      <c r="R4" s="78">
        <f>MCM!C18-NN!C18</f>
        <v>5.8E-21</v>
      </c>
      <c r="S4" s="78">
        <f>MCM!D18-NN!D18</f>
        <v>-7.0000000000000398E-19</v>
      </c>
      <c r="T4" s="78">
        <f>MCM!E18-NN!E18</f>
        <v>1.099999999999998E-20</v>
      </c>
      <c r="U4" s="78">
        <f>MCM!F18-NN!F18</f>
        <v>-3.980000000000005E-19</v>
      </c>
      <c r="V4" s="78">
        <f>MCM!G18-NN!G18</f>
        <v>-6.9399999999999954E-19</v>
      </c>
      <c r="W4" s="78">
        <f>MCM!H18-NN!H18</f>
        <v>-3.9899999999999919E-19</v>
      </c>
      <c r="X4" s="78">
        <f>MCM!I18-NN!I18</f>
        <v>-6.5799999999999989E-19</v>
      </c>
      <c r="Y4" s="78">
        <f>MCM!J18-NN!J18</f>
        <v>-5.6000000000000318E-19</v>
      </c>
      <c r="Z4" s="78">
        <f>MCM!K18-NN!K18</f>
        <v>-6.9599999999999999E-19</v>
      </c>
      <c r="AA4" s="78">
        <f>MCM!L18-NN!L18</f>
        <v>-1.0800000000000097E-18</v>
      </c>
      <c r="AB4" s="78">
        <f>MCM!M18-NN!M18</f>
        <v>-6.6499999999999993E-19</v>
      </c>
      <c r="AC4" s="36"/>
      <c r="AD4" s="33"/>
    </row>
    <row r="5" spans="1:45" ht="18" customHeight="1">
      <c r="A5" s="37">
        <v>45722</v>
      </c>
      <c r="B5" s="78">
        <f>MCM!B19-KK!B19</f>
        <v>-7.5158419385099649E-19</v>
      </c>
      <c r="C5" s="78">
        <f>SQRT(MCM!C19^2+KK!C19^2)</f>
        <v>1.8299421872764946E-18</v>
      </c>
      <c r="D5" s="78">
        <f>MCM!D19-KK!D19</f>
        <v>-1.6187047008249959E-18</v>
      </c>
      <c r="E5" s="78">
        <f>SQRT(MCM!E19^2+KK!E19^2)</f>
        <v>1.8587225867798366E-18</v>
      </c>
      <c r="F5" s="78">
        <f>MCM!F19-KK!F19</f>
        <v>-2.9790095384699947E-19</v>
      </c>
      <c r="G5" s="78">
        <f>SQRT(MCM!G19^2+KK!G19^2)</f>
        <v>5.3709209782731053E-18</v>
      </c>
      <c r="H5" s="78">
        <f>MCM!H19-KK!H19</f>
        <v>-2.4548155699440205E-19</v>
      </c>
      <c r="I5" s="78">
        <f>SQRT(MCM!I19^2+KK!I19^2)</f>
        <v>5.3643976114636826E-18</v>
      </c>
      <c r="J5" s="78">
        <f>MCM!J19-KK!J19</f>
        <v>-1.7414000300430024E-18</v>
      </c>
      <c r="K5" s="78">
        <f>SQRT(MCM!K19^2+KK!K19^2)</f>
        <v>5.6577705490953121E-18</v>
      </c>
      <c r="L5" s="78">
        <f>MCM!L19-KK!L19</f>
        <v>-2.3620346328100054E-18</v>
      </c>
      <c r="M5" s="78">
        <f>SQRT(MCM!M19^2+KK!M19^2)</f>
        <v>5.6445409407819347E-18</v>
      </c>
      <c r="N5" s="36"/>
      <c r="O5" s="33"/>
      <c r="P5" s="37">
        <v>45722</v>
      </c>
      <c r="Q5" s="78">
        <f>MCM!B19-NN!B19</f>
        <v>-7.6999999999999821E-19</v>
      </c>
      <c r="R5" s="78">
        <f>MCM!C19-NN!C19</f>
        <v>-6.5000000000001195E-21</v>
      </c>
      <c r="S5" s="78">
        <f>MCM!D19-NN!D19</f>
        <v>-7.8999999999999657E-19</v>
      </c>
      <c r="T5" s="78">
        <f>MCM!E19-NN!E19</f>
        <v>1.6999999999999987E-20</v>
      </c>
      <c r="U5" s="78">
        <f>MCM!F19-NN!F19</f>
        <v>-1.3219999999999996E-18</v>
      </c>
      <c r="V5" s="78">
        <f>MCM!G19-NN!G19</f>
        <v>-9.1600000000000036E-19</v>
      </c>
      <c r="W5" s="78">
        <f>MCM!H19-NN!H19</f>
        <v>-1.2440000000000005E-18</v>
      </c>
      <c r="X5" s="78">
        <f>MCM!I19-NN!I19</f>
        <v>-9.2600000000000031E-19</v>
      </c>
      <c r="Y5" s="78">
        <f>MCM!J19-NN!J19</f>
        <v>-7.3999999999998836E-19</v>
      </c>
      <c r="Z5" s="78">
        <f>MCM!K19-NN!K19</f>
        <v>-8.7499999999999958E-19</v>
      </c>
      <c r="AA5" s="78">
        <f>MCM!L19-NN!L19</f>
        <v>-6.7000000000001878E-19</v>
      </c>
      <c r="AB5" s="78">
        <f>MCM!M19-NN!M19</f>
        <v>-8.6499999999999963E-19</v>
      </c>
      <c r="AC5" s="36"/>
      <c r="AD5" s="33"/>
    </row>
    <row r="6" spans="1:45" ht="18" customHeight="1">
      <c r="A6" s="34">
        <v>45723</v>
      </c>
      <c r="B6" s="78">
        <f>MCM!B20-KK!B20</f>
        <v>-5.4159539705699081E-19</v>
      </c>
      <c r="C6" s="78">
        <f>SQRT(MCM!C20^2+KK!C20^2)</f>
        <v>2.0216764924841652E-18</v>
      </c>
      <c r="D6" s="78">
        <f>MCM!D20-KK!D20</f>
        <v>-8.1383682693999958E-19</v>
      </c>
      <c r="E6" s="78">
        <f>SQRT(MCM!E20^2+KK!E20^2)</f>
        <v>2.055250983703224E-18</v>
      </c>
      <c r="F6" s="78">
        <f>MCM!F20-KK!F20</f>
        <v>-6.1174541647029798E-19</v>
      </c>
      <c r="G6" s="78">
        <f>SQRT(MCM!G20^2+KK!G20^2)</f>
        <v>6.030255525669639E-18</v>
      </c>
      <c r="H6" s="78">
        <f>MCM!H20-KK!H20</f>
        <v>-5.4287937676900004E-19</v>
      </c>
      <c r="I6" s="78">
        <f>SQRT(MCM!I20^2+KK!I20^2)</f>
        <v>6.0806895887343518E-18</v>
      </c>
      <c r="J6" s="78">
        <f>MCM!J20-KK!J20</f>
        <v>2.9188925534499198E-19</v>
      </c>
      <c r="K6" s="78">
        <f>SQRT(MCM!K20^2+KK!K20^2)</f>
        <v>4.2016674113543468E-18</v>
      </c>
      <c r="L6" s="78">
        <f>MCM!L20-KK!L20</f>
        <v>1.3143541715201537E-19</v>
      </c>
      <c r="M6" s="78">
        <f>SQRT(MCM!M20^2+KK!M20^2)</f>
        <v>4.1820759039478197E-18</v>
      </c>
      <c r="N6" s="36"/>
      <c r="O6" s="33"/>
      <c r="P6" s="37">
        <v>45723</v>
      </c>
      <c r="Q6" s="78">
        <f>MCM!B20-NN!B20</f>
        <v>-6.4999999999999577E-19</v>
      </c>
      <c r="R6" s="78">
        <f>MCM!C20-NN!C20</f>
        <v>-1.7299999999999997E-19</v>
      </c>
      <c r="S6" s="78">
        <f>MCM!D20-NN!D20</f>
        <v>-7.2000000000000233E-19</v>
      </c>
      <c r="T6" s="78">
        <f>MCM!E20-NN!E20</f>
        <v>-1.4700000000000007E-19</v>
      </c>
      <c r="U6" s="78">
        <f>MCM!F20-NN!F20</f>
        <v>-5.169999999999981E-19</v>
      </c>
      <c r="V6" s="78">
        <f>MCM!G20-NN!G20</f>
        <v>-4.3299999999999993E-19</v>
      </c>
      <c r="W6" s="78">
        <f>MCM!H20-NN!H20</f>
        <v>-5.1399999999999896E-19</v>
      </c>
      <c r="X6" s="78">
        <f>MCM!I20-NN!I20</f>
        <v>-2.7899999999999983E-19</v>
      </c>
      <c r="Y6" s="78">
        <f>MCM!J20-NN!J20</f>
        <v>-6.0999999999999907E-19</v>
      </c>
      <c r="Z6" s="78">
        <f>MCM!K20-NN!K20</f>
        <v>-4.5699999999999996E-19</v>
      </c>
      <c r="AA6" s="78">
        <f>MCM!L20-NN!L20</f>
        <v>-3.0999999999999912E-19</v>
      </c>
      <c r="AB6" s="78">
        <f>MCM!M20-NN!M20</f>
        <v>-3.8400000000000004E-19</v>
      </c>
      <c r="AC6" s="36"/>
      <c r="AD6" s="33"/>
    </row>
    <row r="7" spans="1:45" ht="18" customHeight="1">
      <c r="A7" s="37">
        <v>45729</v>
      </c>
      <c r="B7" s="78">
        <f>MCM!B21-KK!B21</f>
        <v>-2.4743133689300222E-19</v>
      </c>
      <c r="C7" s="78">
        <f>SQRT(MCM!C21^2+KK!C21^2)</f>
        <v>1.5137796336385262E-18</v>
      </c>
      <c r="D7" s="78">
        <f>MCM!D21-KK!D21</f>
        <v>-3.6254057835099984E-19</v>
      </c>
      <c r="E7" s="78">
        <f>SQRT(MCM!E21^2+KK!E21^2)</f>
        <v>1.5310598499915607E-18</v>
      </c>
      <c r="F7" s="78">
        <f>MCM!F21-KK!F21</f>
        <v>-3.8829953734759876E-19</v>
      </c>
      <c r="G7" s="78">
        <f>SQRT(MCM!G21^2+KK!G21^2)</f>
        <v>5.1433588596848585E-18</v>
      </c>
      <c r="H7" s="78">
        <f>MCM!H21-KK!H21</f>
        <v>-2.6746270354730199E-19</v>
      </c>
      <c r="I7" s="78">
        <f>SQRT(MCM!I21^2+KK!I21^2)</f>
        <v>5.0864077851913799E-18</v>
      </c>
      <c r="J7" s="78">
        <f>MCM!J21-KK!J21</f>
        <v>1.412577755630018E-19</v>
      </c>
      <c r="K7" s="78">
        <f>SQRT(MCM!K21^2+KK!K21^2)</f>
        <v>4.2958182837730989E-18</v>
      </c>
      <c r="L7" s="78">
        <f>MCM!L21-KK!L21</f>
        <v>1.7355858696600434E-19</v>
      </c>
      <c r="M7" s="78">
        <f>SQRT(MCM!M21^2+KK!M21^2)</f>
        <v>4.3042521337634873E-18</v>
      </c>
      <c r="N7" s="36"/>
      <c r="O7" s="33"/>
      <c r="P7" s="37">
        <v>45729</v>
      </c>
      <c r="Q7" s="78">
        <f>MCM!B21-NN!B21</f>
        <v>-2.6799999999999272E-19</v>
      </c>
      <c r="R7" s="78">
        <f>MCM!C21-NN!C21</f>
        <v>-1.1460200000000013E-19</v>
      </c>
      <c r="S7" s="78">
        <f>MCM!D21-NN!D21</f>
        <v>-3.199999999999983E-19</v>
      </c>
      <c r="T7" s="78">
        <f>MCM!E21-NN!E21</f>
        <v>-1.3099999999999992E-19</v>
      </c>
      <c r="U7" s="78">
        <f>MCM!F21-NN!F21</f>
        <v>-3.1099999999999781E-19</v>
      </c>
      <c r="V7" s="78">
        <f>MCM!G21-NN!G21</f>
        <v>-2.7399999999999947E-19</v>
      </c>
      <c r="W7" s="78">
        <f>MCM!H21-NN!H21</f>
        <v>-2.9800000000000257E-19</v>
      </c>
      <c r="X7" s="78">
        <f>MCM!I21-NN!I21</f>
        <v>-2.8899999999999977E-19</v>
      </c>
      <c r="Y7" s="78">
        <f>MCM!J21-NN!J21</f>
        <v>1.6499999999999874E-18</v>
      </c>
      <c r="Z7" s="78">
        <f>MCM!K21-NN!K21</f>
        <v>-8.2299999999999978E-19</v>
      </c>
      <c r="AA7" s="78">
        <f>MCM!L21-NN!L21</f>
        <v>1.7200000000000063E-18</v>
      </c>
      <c r="AB7" s="78">
        <f>MCM!M21-NN!M21</f>
        <v>-7.6699999999999985E-19</v>
      </c>
      <c r="AC7" s="36"/>
      <c r="AD7" s="33"/>
    </row>
    <row r="8" spans="1:45" ht="18" customHeight="1">
      <c r="A8" s="34">
        <v>45734</v>
      </c>
      <c r="B8" s="78">
        <f>MCM!B22-KK!B22</f>
        <v>-1.5678801944499789E-19</v>
      </c>
      <c r="C8" s="78">
        <f>SQRT(MCM!C22^2+KK!C22^2)</f>
        <v>1.7998436670692791E-18</v>
      </c>
      <c r="D8" s="78">
        <f>MCM!D22-KK!D22</f>
        <v>-7.7996900855299807E-19</v>
      </c>
      <c r="E8" s="78">
        <f>SQRT(MCM!E22^2+KK!E22^2)</f>
        <v>1.8497562930224787E-18</v>
      </c>
      <c r="F8" s="78">
        <f>MCM!F22-KK!F22</f>
        <v>-4.4958093527959832E-19</v>
      </c>
      <c r="G8" s="78">
        <f>SQRT(MCM!G22^2+KK!G22^2)</f>
        <v>8.0164007418564494E-18</v>
      </c>
      <c r="H8" s="78">
        <f>MCM!H22-KK!H22</f>
        <v>-4.1278511127070214E-19</v>
      </c>
      <c r="I8" s="78">
        <f>SQRT(MCM!I22^2+KK!I22^2)</f>
        <v>8.0725149451748631E-18</v>
      </c>
      <c r="J8" s="78">
        <f>MCM!J22-KK!J22</f>
        <v>8.8251514649804457E-21</v>
      </c>
      <c r="K8" s="78">
        <f>SQRT(MCM!K22^2+KK!K22^2)</f>
        <v>1.0278668207051352E-17</v>
      </c>
      <c r="L8" s="78">
        <f>MCM!L22-KK!L22</f>
        <v>-7.458162557601896E-20</v>
      </c>
      <c r="M8" s="78">
        <f>SQRT(MCM!M22^2+KK!M22^2)</f>
        <v>1.0401888733004746E-17</v>
      </c>
      <c r="N8" s="36"/>
      <c r="O8" s="33"/>
      <c r="P8" s="37">
        <v>45734</v>
      </c>
      <c r="Q8" s="78">
        <f>MCM!B22-NN!B22</f>
        <v>-4.4000000000000074E-19</v>
      </c>
      <c r="R8" s="78">
        <f>MCM!C22-NN!C22</f>
        <v>-1.4898000000000007E-19</v>
      </c>
      <c r="S8" s="78">
        <f>MCM!D22-NN!D22</f>
        <v>-4.2000000000000239E-19</v>
      </c>
      <c r="T8" s="78">
        <f>MCM!E22-NN!E22</f>
        <v>-1.6399999999999986E-19</v>
      </c>
      <c r="U8" s="78">
        <f>MCM!F22-NN!F22</f>
        <v>-3.9100000000000046E-19</v>
      </c>
      <c r="V8" s="78">
        <f>MCM!G22-NN!G22</f>
        <v>6.5999999999999495E-20</v>
      </c>
      <c r="W8" s="78">
        <f>MCM!H22-NN!H22</f>
        <v>-3.9200000000000223E-19</v>
      </c>
      <c r="X8" s="78">
        <f>MCM!I22-NN!I22</f>
        <v>2.1000000000000119E-20</v>
      </c>
      <c r="Y8" s="78">
        <f>MCM!J22-NN!J22</f>
        <v>-9.9999999999991764E-21</v>
      </c>
      <c r="Z8" s="78">
        <f>MCM!K22-NN!K22</f>
        <v>-8.620000000000005E-19</v>
      </c>
      <c r="AA8" s="78">
        <f>MCM!L22-NN!L22</f>
        <v>5.9999999999995059E-20</v>
      </c>
      <c r="AB8" s="78">
        <f>MCM!M22-NN!M22</f>
        <v>-8.8100000000000017E-19</v>
      </c>
      <c r="AC8" s="36"/>
      <c r="AD8" s="33"/>
    </row>
    <row r="9" spans="1:45" ht="18" customHeight="1">
      <c r="A9" s="37">
        <v>45736</v>
      </c>
      <c r="B9" s="78">
        <f>MCM!B23-KK!B23</f>
        <v>-3.230629326049988E-19</v>
      </c>
      <c r="C9" s="78">
        <f>SQRT(MCM!C23^2+KK!C23^2)</f>
        <v>1.2752500969879203E-18</v>
      </c>
      <c r="D9" s="78">
        <f>MCM!D23-KK!D23</f>
        <v>-5.8192617964900223E-19</v>
      </c>
      <c r="E9" s="78">
        <f>SQRT(MCM!E23^2+KK!E23^2)</f>
        <v>1.3267522318411888E-18</v>
      </c>
      <c r="F9" s="78">
        <f>MCM!F23-KK!F23</f>
        <v>1.4507488669249926E-19</v>
      </c>
      <c r="G9" s="78">
        <f>SQRT(MCM!G23^2+KK!G23^2)</f>
        <v>4.128423795917829E-18</v>
      </c>
      <c r="H9" s="78">
        <f>MCM!H23-KK!H23</f>
        <v>2.0339356386359901E-19</v>
      </c>
      <c r="I9" s="78">
        <f>SQRT(MCM!I23^2+KK!I23^2)</f>
        <v>4.1075616442107907E-18</v>
      </c>
      <c r="J9" s="78">
        <f>MCM!J23-KK!J23</f>
        <v>8.6279391792599736E-19</v>
      </c>
      <c r="K9" s="78">
        <f>SQRT(MCM!K23^2+KK!K23^2)</f>
        <v>4.0667513301517401E-18</v>
      </c>
      <c r="L9" s="78">
        <f>MCM!L23-KK!L23</f>
        <v>-2.8516150774800861E-19</v>
      </c>
      <c r="M9" s="78">
        <f>SQRT(MCM!M23^2+KK!M23^2)</f>
        <v>4.1251218313219446E-18</v>
      </c>
      <c r="N9" s="36"/>
      <c r="O9" s="33"/>
      <c r="P9" s="37">
        <v>45736</v>
      </c>
      <c r="Q9" s="78">
        <f>MCM!B23-NN!B23</f>
        <v>-3.3999999999999665E-19</v>
      </c>
      <c r="R9" s="78">
        <f>MCM!C23-NN!C23</f>
        <v>-2.2896699999999983E-19</v>
      </c>
      <c r="S9" s="78">
        <f>MCM!D23-NN!D23</f>
        <v>-3.7000000000000651E-19</v>
      </c>
      <c r="T9" s="78">
        <f>MCM!E23-NN!E23</f>
        <v>-1.9200000000000002E-19</v>
      </c>
      <c r="U9" s="78">
        <f>MCM!F23-NN!F23</f>
        <v>1.1099999999999887E-19</v>
      </c>
      <c r="V9" s="78">
        <f>MCM!G23-NN!G23</f>
        <v>-8.6899999999999977E-19</v>
      </c>
      <c r="W9" s="78">
        <f>MCM!H23-NN!H23</f>
        <v>1.5700000000000001E-19</v>
      </c>
      <c r="X9" s="78">
        <f>MCM!I23-NN!I23</f>
        <v>-7.6599999999999962E-19</v>
      </c>
      <c r="Y9" s="78">
        <f>MCM!J23-NN!J23</f>
        <v>2.030000000000104E-19</v>
      </c>
      <c r="Z9" s="78">
        <f>MCM!K23-NN!K23</f>
        <v>-7.7699999999999979E-19</v>
      </c>
      <c r="AA9" s="78">
        <f>MCM!L23-NN!L23</f>
        <v>-3.59999999999995E-19</v>
      </c>
      <c r="AB9" s="78">
        <f>MCM!M23-NN!M23</f>
        <v>-6.6499999999999993E-19</v>
      </c>
      <c r="AC9" s="36"/>
      <c r="AD9" s="33"/>
    </row>
    <row r="10" spans="1:45" ht="18" customHeight="1">
      <c r="A10" s="37">
        <v>45737</v>
      </c>
      <c r="B10" s="78">
        <f>MCM!B24-KK!B24</f>
        <v>-5.8991855226300685E-19</v>
      </c>
      <c r="C10" s="78">
        <f>SQRT(MCM!C24^2+KK!C24^2)</f>
        <v>1.4844309149175046E-18</v>
      </c>
      <c r="D10" s="78">
        <f>MCM!D24-KK!D24</f>
        <v>-1.2599077933309996E-18</v>
      </c>
      <c r="E10" s="78">
        <f>SQRT(MCM!E24^2+KK!E24^2)</f>
        <v>1.6871378053492773E-18</v>
      </c>
      <c r="F10" s="78">
        <f>MCM!F24-KK!F24</f>
        <v>-4.0614483873739996E-19</v>
      </c>
      <c r="G10" s="78">
        <f>SQRT(MCM!G24^2+KK!G24^2)</f>
        <v>5.3683901568822359E-18</v>
      </c>
      <c r="H10" s="78">
        <f>MCM!H24-KK!H24</f>
        <v>-8.1102599831929735E-20</v>
      </c>
      <c r="I10" s="78">
        <f>SQRT(MCM!I24^2+KK!I24^2)</f>
        <v>5.7332981276214993E-18</v>
      </c>
      <c r="J10" s="78">
        <f>MCM!J24-KK!J24</f>
        <v>-1.9175783639999873E-18</v>
      </c>
      <c r="K10" s="78">
        <f>SQRT(MCM!K24^2+KK!K24^2)</f>
        <v>4.6302320484693204E-18</v>
      </c>
      <c r="L10" s="78">
        <f>MCM!L24-KK!L24</f>
        <v>-2.5366868048000005E-18</v>
      </c>
      <c r="M10" s="78">
        <f>SQRT(MCM!M24^2+KK!M24^2)</f>
        <v>4.9494787650351354E-18</v>
      </c>
      <c r="N10" s="56" t="s">
        <v>24</v>
      </c>
      <c r="O10" s="57"/>
      <c r="P10" s="37">
        <v>45737</v>
      </c>
      <c r="Q10" s="78">
        <f>MCM!B24-NN!B24</f>
        <v>-6.1999999999999824E-19</v>
      </c>
      <c r="R10" s="78">
        <f>MCM!C24-NN!C24</f>
        <v>-1.8097500000000011E-19</v>
      </c>
      <c r="S10" s="78">
        <f>MCM!D24-NN!D24</f>
        <v>-7.2000000000000233E-19</v>
      </c>
      <c r="T10" s="78">
        <f>MCM!E24-NN!E24</f>
        <v>-3.2000000000000003E-19</v>
      </c>
      <c r="U10" s="78">
        <f>MCM!F24-NN!F24</f>
        <v>-4.1000000000000013E-19</v>
      </c>
      <c r="V10" s="78">
        <f>MCM!G24-NN!G24</f>
        <v>-1.3799999999999957E-19</v>
      </c>
      <c r="W10" s="78">
        <f>MCM!H24-NN!H24</f>
        <v>-1.5199999999999734E-20</v>
      </c>
      <c r="X10" s="78">
        <f>MCM!I24-NN!I24</f>
        <v>2.4600000000000008E-19</v>
      </c>
      <c r="Y10" s="78">
        <f>MCM!J24-NN!J24</f>
        <v>-1.1799999999999768E-18</v>
      </c>
      <c r="Z10" s="78">
        <f>MCM!K24-NN!K24</f>
        <v>-9.9199999999999981E-19</v>
      </c>
      <c r="AA10" s="78">
        <f>MCM!L24-NN!L24</f>
        <v>-1.1699999999999776E-18</v>
      </c>
      <c r="AB10" s="78">
        <f>MCM!M24-NN!M24</f>
        <v>-1.0099999999999996E-18</v>
      </c>
      <c r="AC10" s="56" t="s">
        <v>24</v>
      </c>
      <c r="AD10" s="58"/>
    </row>
    <row r="11" spans="1:45" ht="18" customHeight="1">
      <c r="A11" s="39" t="s">
        <v>25</v>
      </c>
      <c r="B11" s="40" t="e">
        <f>SUMPRODUCT(MCM!B16:B24,1/MCM!C16:C24^2)/SUM(1/MCM!C16:C24^2)-SUMPRODUCT(KK!B16:B24,1/KK!C16:C24^2)/SUM(1/KK!C16:C24^2)</f>
        <v>#VALUE!</v>
      </c>
      <c r="C11" s="36"/>
      <c r="D11" s="40" t="e">
        <f>SUMPRODUCT(MCM!D16:D24,1/MCM!E16:E24^2)/SUM(1/MCM!E16:E24^2)-SUMPRODUCT(KK!D16:D24,1/KK!E16:E24^2)/SUM(1/KK!E16:E24^2)</f>
        <v>#VALUE!</v>
      </c>
      <c r="E11" s="36"/>
      <c r="F11" s="40" t="e">
        <f>SUMPRODUCT(MCM!F16:F24,1/MCM!G16:G24^2)/SUM(1/MCM!G16:G24^2)-SUMPRODUCT(KK!F16:F24,1/KK!G16:G24^2)/SUM(1/KK!G16:G24^2)</f>
        <v>#VALUE!</v>
      </c>
      <c r="G11" s="36"/>
      <c r="H11" s="40" t="e">
        <f>SUMPRODUCT(MCM!H16:H24,1/MCM!I16:I24^2)/SUM(1/MCM!I16:I24^2)-SUMPRODUCT(KK!H16:H24,1/KK!I16:I24^2)/SUM(1/KK!I16:I24^2)</f>
        <v>#VALUE!</v>
      </c>
      <c r="I11" s="36"/>
      <c r="J11" s="40" t="e">
        <f>SUMPRODUCT(MCM!J16:J24,1/MCM!K16:K24^2)/SUM(1/MCM!K16:K24^2)-SUMPRODUCT(KK!J16:J24,1/KK!K16:K24^2)/SUM(1/KK!K16:K24^2)</f>
        <v>#VALUE!</v>
      </c>
      <c r="K11" s="36"/>
      <c r="L11" s="40" t="e">
        <f>SUMPRODUCT(MCM!L16:L24,1/MCM!M16:M24^2)/SUM(1/MCM!M16:M24^2)-SUMPRODUCT(KK!L16:L24,1/KK!M16:M24^2)/SUM(1/KK!M16:M24^2)</f>
        <v>#VALUE!</v>
      </c>
      <c r="M11" s="36"/>
      <c r="N11" s="35" t="e">
        <f>AVERAGE(ABS(B11),ABS(D11),ABS(F11),ABS(H11),ABS(J11),ABS(L11))</f>
        <v>#VALUE!</v>
      </c>
      <c r="O11" s="33"/>
      <c r="P11" s="39" t="s">
        <v>25</v>
      </c>
      <c r="Q11" s="40" t="e">
        <f>SUMPRODUCT(MCM!B16:B24,1/MCM!C16:C24^2)/SUM(1/MCM!C16:C24^2)-SUMPRODUCT(NN!B16:B24,1/NN!C16:C24^2)/SUM(1/NN!C16:C24^2)</f>
        <v>#VALUE!</v>
      </c>
      <c r="R11" s="36"/>
      <c r="S11" s="40" t="e">
        <f>SUMPRODUCT(MCM!D16:D24,1/MCM!E16:E24^2)/SUM(1/MCM!E16:E24^2)-SUMPRODUCT(NN!D16:D24,1/NN!E16:E24^2)/SUM(1/NN!E16:E24^2)</f>
        <v>#VALUE!</v>
      </c>
      <c r="T11" s="36"/>
      <c r="U11" s="40" t="e">
        <f>SUMPRODUCT(MCM!F16:F24,1/MCM!G16:G24^2)/SUM(1/MCM!G16:G24^2)-SUMPRODUCT(NN!F16:F24,1/NN!G16:G24^2)/SUM(1/NN!G16:G24^2)</f>
        <v>#VALUE!</v>
      </c>
      <c r="V11" s="36"/>
      <c r="W11" s="40" t="e">
        <f>SUMPRODUCT(MCM!H16:H24,1/MCM!I16:I24^2)/SUM(1/MCM!I16:I24^2)-SUMPRODUCT(NN!H16:H24,1/NN!I16:I24^2)/SUM(1/NN!I16:I24^2)</f>
        <v>#VALUE!</v>
      </c>
      <c r="X11" s="36"/>
      <c r="Y11" s="40" t="e">
        <f>SUMPRODUCT(MCM!J16:J24,1/MCM!K16:K24^2)/SUM(1/MCM!K16:K24^2)-SUMPRODUCT(NN!J16:J24,1/NN!K16:K24^2)/SUM(1/NN!K16:K24^2)</f>
        <v>#VALUE!</v>
      </c>
      <c r="Z11" s="36"/>
      <c r="AA11" s="40" t="e">
        <f>SUMPRODUCT(MCM!L16:L24,1/MCM!M16:M24^2)/SUM(1/MCM!M16:M24^2)-SUMPRODUCT(NN!L16:L24,1/NN!M16:M24^2)/SUM(1/NN!M16:M24^2)</f>
        <v>#VALUE!</v>
      </c>
      <c r="AB11" s="36"/>
      <c r="AC11" s="35" t="e">
        <f>AVERAGE(ABS(Q11),ABS(S11),ABS(U11),ABS(W11),ABS(Y11),ABS(AA11))</f>
        <v>#VALUE!</v>
      </c>
      <c r="AD11" s="33"/>
    </row>
    <row r="12" spans="1:45" ht="18" customHeight="1">
      <c r="A12" s="41"/>
      <c r="B12" s="42"/>
      <c r="C12" s="36"/>
      <c r="D12" s="42"/>
      <c r="E12" s="36"/>
      <c r="F12" s="42"/>
      <c r="G12" s="36"/>
      <c r="H12" s="42"/>
      <c r="I12" s="36"/>
      <c r="J12" s="42"/>
      <c r="K12" s="36"/>
      <c r="L12" s="42"/>
      <c r="M12" s="36"/>
      <c r="O12" s="33"/>
      <c r="P12" s="41"/>
      <c r="Q12" s="42"/>
      <c r="R12" s="36"/>
      <c r="S12" s="42"/>
      <c r="T12" s="36"/>
      <c r="U12" s="42"/>
      <c r="V12" s="36"/>
      <c r="W12" s="42"/>
      <c r="X12" s="36"/>
      <c r="Y12" s="42"/>
      <c r="Z12" s="36"/>
      <c r="AA12" s="42"/>
      <c r="AB12" s="36"/>
      <c r="AC12" s="36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</row>
    <row r="13" spans="1:45" ht="18" customHeight="1">
      <c r="A13" s="41"/>
      <c r="B13" s="42"/>
      <c r="C13" s="36"/>
      <c r="D13" s="42"/>
      <c r="E13" s="36"/>
      <c r="F13" s="42"/>
      <c r="G13" s="36"/>
      <c r="H13" s="42"/>
      <c r="I13" s="36"/>
      <c r="J13" s="42"/>
      <c r="K13" s="36"/>
      <c r="L13" s="42"/>
      <c r="M13" s="36"/>
      <c r="N13" s="36"/>
      <c r="O13" s="33"/>
      <c r="P13" s="41"/>
      <c r="Q13" s="42"/>
      <c r="R13" s="36"/>
      <c r="S13" s="42"/>
      <c r="T13" s="36"/>
      <c r="U13" s="42"/>
      <c r="V13" s="36"/>
      <c r="W13" s="42"/>
      <c r="X13" s="36"/>
      <c r="Y13" s="42"/>
      <c r="Z13" s="36"/>
      <c r="AA13" s="42"/>
      <c r="AB13" s="36"/>
      <c r="AC13" s="36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</row>
    <row r="14" spans="1:45" ht="18" customHeight="1">
      <c r="A14" s="41"/>
      <c r="B14" s="42"/>
      <c r="C14" s="36"/>
      <c r="D14" s="42"/>
      <c r="E14" s="36"/>
      <c r="F14" s="42"/>
      <c r="G14" s="36"/>
      <c r="H14" s="42"/>
      <c r="I14" s="36"/>
      <c r="J14" s="42"/>
      <c r="K14" s="36"/>
      <c r="L14" s="42"/>
      <c r="M14" s="36"/>
      <c r="N14" s="36"/>
      <c r="O14" s="33"/>
      <c r="P14" s="41"/>
      <c r="Q14" s="42"/>
      <c r="R14" s="36"/>
      <c r="S14" s="42"/>
      <c r="T14" s="36"/>
      <c r="U14" s="42"/>
      <c r="V14" s="36"/>
      <c r="W14" s="42"/>
      <c r="X14" s="36"/>
      <c r="Y14" s="42"/>
      <c r="Z14" s="36"/>
      <c r="AA14" s="42"/>
      <c r="AB14" s="36"/>
      <c r="AC14" s="36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</row>
    <row r="15" spans="1:45" ht="18" customHeight="1">
      <c r="A15" s="4" t="s">
        <v>0</v>
      </c>
      <c r="B15" s="30" t="s">
        <v>1</v>
      </c>
      <c r="C15" s="3" t="s">
        <v>2</v>
      </c>
      <c r="D15" s="31" t="s">
        <v>3</v>
      </c>
      <c r="E15" s="3" t="s">
        <v>4</v>
      </c>
      <c r="F15" s="30" t="s">
        <v>5</v>
      </c>
      <c r="G15" s="3" t="s">
        <v>6</v>
      </c>
      <c r="H15" s="31" t="s">
        <v>7</v>
      </c>
      <c r="I15" s="3" t="s">
        <v>8</v>
      </c>
      <c r="J15" s="30" t="s">
        <v>9</v>
      </c>
      <c r="K15" s="3" t="s">
        <v>10</v>
      </c>
      <c r="L15" s="31" t="s">
        <v>11</v>
      </c>
      <c r="M15" s="3" t="s">
        <v>12</v>
      </c>
      <c r="N15" s="32" t="s">
        <v>26</v>
      </c>
      <c r="O15" s="33"/>
      <c r="P15" s="4" t="s">
        <v>0</v>
      </c>
      <c r="Q15" s="30" t="s">
        <v>1</v>
      </c>
      <c r="R15" s="3" t="s">
        <v>2</v>
      </c>
      <c r="S15" s="31" t="s">
        <v>3</v>
      </c>
      <c r="T15" s="3" t="s">
        <v>4</v>
      </c>
      <c r="U15" s="30" t="s">
        <v>5</v>
      </c>
      <c r="V15" s="3" t="s">
        <v>6</v>
      </c>
      <c r="W15" s="31" t="s">
        <v>7</v>
      </c>
      <c r="X15" s="3" t="s">
        <v>8</v>
      </c>
      <c r="Y15" s="30" t="s">
        <v>9</v>
      </c>
      <c r="Z15" s="3" t="s">
        <v>10</v>
      </c>
      <c r="AA15" s="31" t="s">
        <v>11</v>
      </c>
      <c r="AB15" s="3" t="s">
        <v>12</v>
      </c>
      <c r="AC15" s="32" t="s">
        <v>27</v>
      </c>
      <c r="AD15" s="44"/>
    </row>
    <row r="16" spans="1:45" ht="18" customHeight="1">
      <c r="A16" s="37">
        <v>45715</v>
      </c>
      <c r="B16" s="78">
        <f>KK!B16-NN!B16</f>
        <v>-2.0893403417200695E-19</v>
      </c>
      <c r="C16" s="78">
        <f>SQRT(KK!C16^2+NN!C16^2)</f>
        <v>1.6781406412309261E-18</v>
      </c>
      <c r="D16" s="78">
        <f>KK!D16-NN!D16</f>
        <v>-2.4802085750054617E-21</v>
      </c>
      <c r="E16" s="78">
        <f>SQRT(KK!E16^2+NN!E16^2)</f>
        <v>1.7056908274143359E-18</v>
      </c>
      <c r="F16" s="78">
        <f>KK!F16-NN!F16</f>
        <v>-1.1740705206979972E-19</v>
      </c>
      <c r="G16" s="78">
        <f>SQRT(KK!G16^2+NN!G16^2)</f>
        <v>4.4586469133345458E-18</v>
      </c>
      <c r="H16" s="78">
        <f>KK!H16-NN!H16</f>
        <v>-1.9777584644379977E-19</v>
      </c>
      <c r="I16" s="78">
        <f>SQRT(KK!I16^2+NN!I16^2)</f>
        <v>4.7316770129383832E-18</v>
      </c>
      <c r="J16" s="78">
        <f>KK!J16-NN!J16</f>
        <v>-3.3992213771800646E-19</v>
      </c>
      <c r="K16" s="78">
        <f>SQRT(KK!K16^2+NN!K16^2)</f>
        <v>4.6366149563702673E-18</v>
      </c>
      <c r="L16" s="78">
        <f>KK!L16-NN!L16</f>
        <v>-8.1352433888990573E-20</v>
      </c>
      <c r="M16" s="78">
        <f>SQRT(KK!M16^2+NN!M16^2)</f>
        <v>4.9270289450037182E-18</v>
      </c>
      <c r="N16" s="36"/>
      <c r="O16" s="33"/>
      <c r="P16" s="37">
        <v>45715</v>
      </c>
      <c r="Q16" s="78">
        <f>MCM!B16-'JS YbReRunShifts'!B6</f>
        <v>-6.5996705022400385E-19</v>
      </c>
      <c r="R16" s="78">
        <f>MCM!C16-'JS YbReRunShifts'!C6</f>
        <v>-3.0710000000000008E-19</v>
      </c>
      <c r="S16" s="78">
        <f>MCM!D16-'JS YbReRunShifts'!D6</f>
        <v>-1.0036876534849988E-18</v>
      </c>
      <c r="T16" s="78">
        <f>MCM!E16-'JS YbReRunShifts'!E6</f>
        <v>-3.1000000000000008E-19</v>
      </c>
      <c r="U16" s="78">
        <f>MCM!F16-'JS YbReRunShifts'!F6</f>
        <v>-5.1455369315590131E-19</v>
      </c>
      <c r="V16" s="78">
        <f>MCM!G16-'JS YbReRunShifts'!G6</f>
        <v>-1.3959999999999997E-18</v>
      </c>
      <c r="W16" s="78">
        <f>MCM!H16-'JS YbReRunShifts'!H6</f>
        <v>-6.1270978047719973E-19</v>
      </c>
      <c r="X16" s="78">
        <f>MCM!I16-'JS YbReRunShifts'!I6</f>
        <v>-1.5429999999999998E-18</v>
      </c>
      <c r="Y16" s="78">
        <f>MCM!J16-'JS YbReRunShifts'!J6</f>
        <v>-3.2941747109700299E-19</v>
      </c>
      <c r="Z16" s="78">
        <f>MCM!K16-'JS YbReRunShifts'!K6</f>
        <v>-1.4590000000000001E-18</v>
      </c>
      <c r="AA16" s="78">
        <f>MCM!L16-'JS YbReRunShifts'!L6</f>
        <v>-1.1302414696749952E-18</v>
      </c>
      <c r="AB16" s="78">
        <f>MCM!M16-'JS YbReRunShifts'!M6</f>
        <v>-1.1860000000000005E-18</v>
      </c>
      <c r="AC16" s="36"/>
      <c r="AD16" s="33"/>
    </row>
    <row r="17" spans="1:45" ht="18" customHeight="1">
      <c r="A17" s="37">
        <v>45716</v>
      </c>
      <c r="B17" s="78">
        <f>KK!B17-NN!B17</f>
        <v>-1.118316369579987E-19</v>
      </c>
      <c r="C17" s="78">
        <f>SQRT(KK!C17^2+NN!C17^2)</f>
        <v>1.6017872684974313E-18</v>
      </c>
      <c r="D17" s="78">
        <f>KK!D17-NN!D17</f>
        <v>4.9810914402299713E-19</v>
      </c>
      <c r="E17" s="78">
        <f>SQRT(KK!E17^2+NN!E17^2)</f>
        <v>1.5619272181687826E-18</v>
      </c>
      <c r="F17" s="78">
        <f>KK!F17-NN!F17</f>
        <v>-5.7232880916301083E-20</v>
      </c>
      <c r="G17" s="78">
        <f>SQRT(KK!G17^2+NN!G17^2)</f>
        <v>4.9732403153862667E-18</v>
      </c>
      <c r="H17" s="78">
        <f>KK!H17-NN!H17</f>
        <v>-1.4698386344120022E-19</v>
      </c>
      <c r="I17" s="78">
        <f>SQRT(KK!I17^2+NN!I17^2)</f>
        <v>4.9719127122971111E-18</v>
      </c>
      <c r="J17" s="78">
        <f>KK!J17-NN!J17</f>
        <v>-6.2166990955008947E-20</v>
      </c>
      <c r="K17" s="78">
        <f>SQRT(KK!K17^2+NN!K17^2)</f>
        <v>4.0580310028777382E-18</v>
      </c>
      <c r="L17" s="78">
        <f>KK!L17-NN!L17</f>
        <v>8.0769009120398505E-19</v>
      </c>
      <c r="M17" s="78">
        <f>SQRT(KK!M17^2+NN!M17^2)</f>
        <v>4.0759757888968558E-18</v>
      </c>
      <c r="N17" s="36"/>
      <c r="O17" s="33"/>
      <c r="P17" s="37">
        <v>45716</v>
      </c>
      <c r="Q17" s="78">
        <f>MCM!B17-'JS YbReRunShifts'!B7</f>
        <v>-5.6549410738600072E-19</v>
      </c>
      <c r="R17" s="78">
        <f>MCM!C17-'JS YbReRunShifts'!C7</f>
        <v>-2.4259999999999996E-19</v>
      </c>
      <c r="S17" s="78">
        <f>MCM!D17-'JS YbReRunShifts'!D7</f>
        <v>-1.2821092223599956E-18</v>
      </c>
      <c r="T17" s="78">
        <f>MCM!E17-'JS YbReRunShifts'!E7</f>
        <v>-2.5999999999999996E-19</v>
      </c>
      <c r="U17" s="78">
        <f>MCM!F17-'JS YbReRunShifts'!F7</f>
        <v>-5.1944790131919859E-19</v>
      </c>
      <c r="V17" s="78">
        <f>MCM!G17-'JS YbReRunShifts'!G7</f>
        <v>-1.3260000000000001E-18</v>
      </c>
      <c r="W17" s="78">
        <f>MCM!H17-'JS YbReRunShifts'!H7</f>
        <v>-6.0830157140839953E-19</v>
      </c>
      <c r="X17" s="78">
        <f>MCM!I17-'JS YbReRunShifts'!I7</f>
        <v>-1.3780000000000003E-18</v>
      </c>
      <c r="Y17" s="78">
        <f>MCM!J17-'JS YbReRunShifts'!J7</f>
        <v>-7.8005069906001267E-19</v>
      </c>
      <c r="Z17" s="78">
        <f>MCM!K17-'JS YbReRunShifts'!K7</f>
        <v>-1.1650000000000003E-18</v>
      </c>
      <c r="AA17" s="78">
        <f>MCM!L17-'JS YbReRunShifts'!L7</f>
        <v>-1.5648108710579845E-18</v>
      </c>
      <c r="AB17" s="78">
        <f>MCM!M17-'JS YbReRunShifts'!M7</f>
        <v>-1.288E-18</v>
      </c>
      <c r="AC17" s="36"/>
      <c r="AD17" s="33"/>
    </row>
    <row r="18" spans="1:45" ht="18" customHeight="1">
      <c r="A18" s="37">
        <v>45720</v>
      </c>
      <c r="B18" s="78">
        <f>KK!B18-NN!B18</f>
        <v>-5.9799494386006382E-20</v>
      </c>
      <c r="C18" s="78">
        <f>SQRT(KK!C18^2+NN!C18^2)</f>
        <v>1.48155168512612E-18</v>
      </c>
      <c r="D18" s="78">
        <f>KK!D18-NN!D18</f>
        <v>2.7185634487700466E-19</v>
      </c>
      <c r="E18" s="78">
        <f>SQRT(KK!E18^2+NN!E18^2)</f>
        <v>1.4812972957734577E-18</v>
      </c>
      <c r="F18" s="78">
        <f>KK!F18-NN!F18</f>
        <v>2.7249627621598932E-20</v>
      </c>
      <c r="G18" s="78">
        <f>SQRT(KK!G18^2+NN!G18^2)</f>
        <v>5.6636573360886739E-18</v>
      </c>
      <c r="H18" s="78">
        <f>KK!H18-NN!H18</f>
        <v>-5.685202623699948E-20</v>
      </c>
      <c r="I18" s="78">
        <f>SQRT(KK!I18^2+NN!I18^2)</f>
        <v>5.6862074402711824E-18</v>
      </c>
      <c r="J18" s="78">
        <f>KK!J18-NN!J18</f>
        <v>-3.6985806326997756E-20</v>
      </c>
      <c r="K18" s="78">
        <f>SQRT(KK!K18^2+NN!K18^2)</f>
        <v>5.6802053952029522E-18</v>
      </c>
      <c r="L18" s="78">
        <f>KK!L18-NN!L18</f>
        <v>8.8010379074985011E-20</v>
      </c>
      <c r="M18" s="78">
        <f>SQRT(KK!M18^2+NN!M18^2)</f>
        <v>5.6988652259728231E-18</v>
      </c>
      <c r="N18" s="36"/>
      <c r="O18" s="33"/>
      <c r="P18" s="37">
        <v>45720</v>
      </c>
      <c r="Q18" s="78">
        <f>MCM!B18-'JS YbReRunShifts'!B8</f>
        <v>-7.0589069557699741E-19</v>
      </c>
      <c r="R18" s="78">
        <f>MCM!C18-'JS YbReRunShifts'!C8</f>
        <v>-1.4419999999999997E-19</v>
      </c>
      <c r="S18" s="78">
        <f>MCM!D18-'JS YbReRunShifts'!D8</f>
        <v>-8.7679565375600053E-19</v>
      </c>
      <c r="T18" s="78">
        <f>MCM!E18-'JS YbReRunShifts'!E8</f>
        <v>-1.4899999999999994E-19</v>
      </c>
      <c r="U18" s="78">
        <f>MCM!F18-'JS YbReRunShifts'!F8</f>
        <v>-2.8942568524759937E-19</v>
      </c>
      <c r="V18" s="78">
        <f>MCM!G18-'JS YbReRunShifts'!G8</f>
        <v>-1.6639999999999998E-18</v>
      </c>
      <c r="W18" s="78">
        <f>MCM!H18-'JS YbReRunShifts'!H8</f>
        <v>-3.7861682422810065E-19</v>
      </c>
      <c r="X18" s="78">
        <f>MCM!I18-'JS YbReRunShifts'!I8</f>
        <v>-1.658E-18</v>
      </c>
      <c r="Y18" s="78">
        <f>MCM!J18-'JS YbReRunShifts'!J8</f>
        <v>-4.6864022194799677E-19</v>
      </c>
      <c r="Z18" s="78">
        <f>MCM!K18-'JS YbReRunShifts'!K8</f>
        <v>-1.716E-18</v>
      </c>
      <c r="AA18" s="78">
        <f>MCM!L18-'JS YbReRunShifts'!L8</f>
        <v>-1.1434852615220022E-18</v>
      </c>
      <c r="AB18" s="78">
        <f>MCM!M18-'JS YbReRunShifts'!M8</f>
        <v>-1.6949999999999998E-18</v>
      </c>
      <c r="AC18" s="36"/>
      <c r="AD18" s="33"/>
    </row>
    <row r="19" spans="1:45" ht="18" customHeight="1">
      <c r="A19" s="37">
        <v>45722</v>
      </c>
      <c r="B19" s="78">
        <f>KK!B19-NN!B19</f>
        <v>-1.8415806149001721E-20</v>
      </c>
      <c r="C19" s="78">
        <f>SQRT(KK!C19^2+NN!C19^2)</f>
        <v>1.834755067788145E-18</v>
      </c>
      <c r="D19" s="78">
        <f>KK!D19-NN!D19</f>
        <v>8.2870470082499929E-19</v>
      </c>
      <c r="E19" s="78">
        <f>SQRT(KK!E19^2+NN!E19^2)</f>
        <v>1.84616376700593E-18</v>
      </c>
      <c r="F19" s="78">
        <f>KK!F19-NN!F19</f>
        <v>-1.0240990461530001E-18</v>
      </c>
      <c r="G19" s="78">
        <f>SQRT(KK!G19^2+NN!G19^2)</f>
        <v>6.0543188018846628E-18</v>
      </c>
      <c r="H19" s="78">
        <f>KK!H19-NN!H19</f>
        <v>-9.9851844300559842E-19</v>
      </c>
      <c r="I19" s="78">
        <f>SQRT(KK!I19^2+NN!I19^2)</f>
        <v>6.0548101319428066E-18</v>
      </c>
      <c r="J19" s="78">
        <f>KK!J19-NN!J19</f>
        <v>1.0014000300430141E-18</v>
      </c>
      <c r="K19" s="78">
        <f>SQRT(KK!K19^2+NN!K19^2)</f>
        <v>6.2797087978830886E-18</v>
      </c>
      <c r="L19" s="78">
        <f>KK!L19-NN!L19</f>
        <v>1.6920346328099866E-18</v>
      </c>
      <c r="M19" s="78">
        <f>SQRT(KK!M19^2+NN!M19^2)</f>
        <v>6.260328859745581E-18</v>
      </c>
      <c r="N19" s="36"/>
      <c r="O19" s="33"/>
      <c r="P19" s="37">
        <v>45722</v>
      </c>
      <c r="Q19" s="78">
        <f>MCM!B19-'JS YbReRunShifts'!B9</f>
        <v>-8.0153750902699939E-19</v>
      </c>
      <c r="R19" s="78">
        <f>MCM!C19-'JS YbReRunShifts'!C9</f>
        <v>-9.4650000000000013E-19</v>
      </c>
      <c r="S19" s="78">
        <f>MCM!D19-'JS YbReRunShifts'!D9</f>
        <v>-1.6617594217840025E-18</v>
      </c>
      <c r="T19" s="78">
        <f>MCM!E19-'JS YbReRunShifts'!E9</f>
        <v>-9.2300000000000002E-19</v>
      </c>
      <c r="U19" s="78">
        <f>MCM!F19-'JS YbReRunShifts'!F9</f>
        <v>-3.0992582669419998E-19</v>
      </c>
      <c r="V19" s="78">
        <f>MCM!G19-'JS YbReRunShifts'!G9</f>
        <v>-1.5460000000000001E-18</v>
      </c>
      <c r="W19" s="78">
        <f>MCM!H19-'JS YbReRunShifts'!H9</f>
        <v>-3.965783876842018E-19</v>
      </c>
      <c r="X19" s="78">
        <f>MCM!I19-'JS YbReRunShifts'!I9</f>
        <v>-1.566E-18</v>
      </c>
      <c r="Y19" s="78">
        <f>MCM!J19-'JS YbReRunShifts'!J9</f>
        <v>-6.520342662749985E-19</v>
      </c>
      <c r="Z19" s="78">
        <f>MCM!K19-'JS YbReRunShifts'!K9</f>
        <v>-1.6149999999999995E-18</v>
      </c>
      <c r="AA19" s="78">
        <f>MCM!L19-'JS YbReRunShifts'!L9</f>
        <v>-1.4428999596330016E-18</v>
      </c>
      <c r="AB19" s="78">
        <f>MCM!M19-'JS YbReRunShifts'!M9</f>
        <v>-1.6250000000000002E-18</v>
      </c>
      <c r="AC19" s="36"/>
      <c r="AD19" s="33"/>
    </row>
    <row r="20" spans="1:45" ht="18" customHeight="1">
      <c r="A20" s="37">
        <v>45723</v>
      </c>
      <c r="B20" s="78">
        <f>KK!B20-NN!B20</f>
        <v>-1.0840460294300496E-19</v>
      </c>
      <c r="C20" s="78">
        <f>SQRT(KK!C20^2+NN!C20^2)</f>
        <v>2.1464824341846072E-18</v>
      </c>
      <c r="D20" s="78">
        <f>KK!D20-NN!D20</f>
        <v>9.3836826939997249E-20</v>
      </c>
      <c r="E20" s="78">
        <f>SQRT(KK!E20^2+NN!E20^2)</f>
        <v>2.1603165522703076E-18</v>
      </c>
      <c r="F20" s="78">
        <f>KK!F20-NN!F20</f>
        <v>9.4745416470299883E-20</v>
      </c>
      <c r="G20" s="78">
        <f>SQRT(KK!G20^2+NN!G20^2)</f>
        <v>6.3494860189521813E-18</v>
      </c>
      <c r="H20" s="78">
        <f>KK!H20-NN!H20</f>
        <v>2.8879376769001082E-20</v>
      </c>
      <c r="I20" s="78">
        <f>SQRT(KK!I20^2+NN!I20^2)</f>
        <v>6.2860134325773078E-18</v>
      </c>
      <c r="J20" s="78">
        <f>KK!J20-NN!J20</f>
        <v>-9.0188925534499104E-19</v>
      </c>
      <c r="K20" s="78">
        <f>SQRT(KK!K20^2+NN!K20^2)</f>
        <v>4.5415724188475892E-18</v>
      </c>
      <c r="L20" s="78">
        <f>KK!L20-NN!L20</f>
        <v>-4.4143541715201449E-19</v>
      </c>
      <c r="M20" s="78">
        <f>SQRT(KK!M20^2+NN!M20^2)</f>
        <v>4.4677939597055027E-18</v>
      </c>
      <c r="N20" s="36"/>
      <c r="O20" s="33"/>
      <c r="P20" s="37">
        <v>45723</v>
      </c>
      <c r="Q20" s="78">
        <f>MCM!B20-'JS YbReRunShifts'!B10</f>
        <v>-6.93277265554995E-19</v>
      </c>
      <c r="R20" s="78">
        <f>MCM!C20-'JS YbReRunShifts'!C10</f>
        <v>-2.1299999999999995E-19</v>
      </c>
      <c r="S20" s="78">
        <f>MCM!D20-'JS YbReRunShifts'!D10</f>
        <v>-7.6561566333799777E-19</v>
      </c>
      <c r="T20" s="78">
        <f>MCM!E20-'JS YbReRunShifts'!E10</f>
        <v>-2.0699999999999994E-19</v>
      </c>
      <c r="U20" s="78">
        <f>MCM!F20-'JS YbReRunShifts'!F10</f>
        <v>-4.0757439386089931E-19</v>
      </c>
      <c r="V20" s="78">
        <f>MCM!G20-'JS YbReRunShifts'!G10</f>
        <v>-1.7329999999999999E-18</v>
      </c>
      <c r="W20" s="78">
        <f>MCM!H20-'JS YbReRunShifts'!H10</f>
        <v>-4.8677833126629939E-19</v>
      </c>
      <c r="X20" s="78">
        <f>MCM!I20-'JS YbReRunShifts'!I10</f>
        <v>-1.5990000000000005E-18</v>
      </c>
      <c r="Y20" s="78">
        <f>MCM!J20-'JS YbReRunShifts'!J10</f>
        <v>-4.8669168918301316E-19</v>
      </c>
      <c r="Z20" s="78">
        <f>MCM!K20-'JS YbReRunShifts'!K10</f>
        <v>-1.2269999999999997E-18</v>
      </c>
      <c r="AA20" s="78">
        <f>MCM!L20-'JS YbReRunShifts'!L10</f>
        <v>-6.1690227168399539E-19</v>
      </c>
      <c r="AB20" s="78">
        <f>MCM!M20-'JS YbReRunShifts'!M10</f>
        <v>-1.194E-18</v>
      </c>
      <c r="AC20" s="36"/>
      <c r="AD20" s="33"/>
    </row>
    <row r="21" spans="1:45" ht="18" customHeight="1">
      <c r="A21" s="37">
        <v>45729</v>
      </c>
      <c r="B21" s="78">
        <f>KK!B21-NN!B21</f>
        <v>-2.0568663106990504E-20</v>
      </c>
      <c r="C21" s="78">
        <f>SQRT(KK!C21^2+NN!C21^2)</f>
        <v>1.5943587302783494E-18</v>
      </c>
      <c r="D21" s="78">
        <f>KK!D21-NN!D21</f>
        <v>4.2540578351001541E-20</v>
      </c>
      <c r="E21" s="78">
        <f>SQRT(KK!E21^2+NN!E21^2)</f>
        <v>1.6228133793681208E-18</v>
      </c>
      <c r="F21" s="78">
        <f>KK!F21-NN!F21</f>
        <v>7.7299537347600951E-20</v>
      </c>
      <c r="G21" s="78">
        <f>SQRT(KK!G21^2+NN!G21^2)</f>
        <v>5.3349287117541431E-18</v>
      </c>
      <c r="H21" s="78">
        <f>KK!H21-NN!H21</f>
        <v>-3.0537296452700588E-20</v>
      </c>
      <c r="I21" s="78">
        <f>SQRT(KK!I21^2+NN!I21^2)</f>
        <v>5.2883913581783521E-18</v>
      </c>
      <c r="J21" s="78">
        <f>KK!J21-NN!J21</f>
        <v>1.5087422244369856E-18</v>
      </c>
      <c r="K21" s="78">
        <f>SQRT(KK!K21^2+NN!K21^2)</f>
        <v>4.8786356419801679E-18</v>
      </c>
      <c r="L21" s="78">
        <f>KK!L21-NN!L21</f>
        <v>1.5464414130340019E-18</v>
      </c>
      <c r="M21" s="78">
        <f>SQRT(KK!M21^2+NN!M21^2)</f>
        <v>4.8467904257361424E-18</v>
      </c>
      <c r="N21" s="36"/>
      <c r="O21" s="33"/>
      <c r="P21" s="37">
        <v>45729</v>
      </c>
      <c r="Q21" s="78">
        <f>MCM!B21-'JS YbReRunShifts'!B11</f>
        <v>-7.0427268852200274E-19</v>
      </c>
      <c r="R21" s="78">
        <f>MCM!C21-'JS YbReRunShifts'!C11</f>
        <v>-3.3460200000000012E-19</v>
      </c>
      <c r="S21" s="78">
        <f>MCM!D21-'JS YbReRunShifts'!D11</f>
        <v>-8.5625807933499813E-19</v>
      </c>
      <c r="T21" s="78">
        <f>MCM!E21-'JS YbReRunShifts'!E11</f>
        <v>-3.4099999999999996E-19</v>
      </c>
      <c r="U21" s="78">
        <f>MCM!F21-'JS YbReRunShifts'!F11</f>
        <v>-2.283232819611976E-19</v>
      </c>
      <c r="V21" s="78">
        <f>MCM!G21-'JS YbReRunShifts'!G11</f>
        <v>-1.7039999999999996E-18</v>
      </c>
      <c r="W21" s="78">
        <f>MCM!H21-'JS YbReRunShifts'!H11</f>
        <v>-2.9013287527390078E-19</v>
      </c>
      <c r="X21" s="78">
        <f>MCM!I21-'JS YbReRunShifts'!I11</f>
        <v>-1.689E-18</v>
      </c>
      <c r="Y21" s="78">
        <f>MCM!J21-'JS YbReRunShifts'!J11</f>
        <v>-7.2325718312600802E-19</v>
      </c>
      <c r="Z21" s="78">
        <f>MCM!K21-'JS YbReRunShifts'!K11</f>
        <v>-1.363E-18</v>
      </c>
      <c r="AA21" s="78">
        <f>MCM!L21-'JS YbReRunShifts'!L11</f>
        <v>-4.3325718312600725E-19</v>
      </c>
      <c r="AB21" s="78">
        <f>MCM!M21-'JS YbReRunShifts'!M11</f>
        <v>-1.3569999999999998E-18</v>
      </c>
      <c r="AC21" s="36"/>
      <c r="AD21" s="33"/>
    </row>
    <row r="22" spans="1:45" ht="18" customHeight="1">
      <c r="A22" s="37">
        <v>45734</v>
      </c>
      <c r="B22" s="78">
        <f>KK!B22-NN!B22</f>
        <v>-2.8321198055500285E-19</v>
      </c>
      <c r="C22" s="78">
        <f>SQRT(KK!C22^2+NN!C22^2)</f>
        <v>1.9118690816814291E-18</v>
      </c>
      <c r="D22" s="78">
        <f>KK!D22-NN!D22</f>
        <v>3.5996900855299569E-19</v>
      </c>
      <c r="E22" s="78">
        <f>SQRT(KK!E22^2+NN!E22^2)</f>
        <v>1.9714721259952576E-18</v>
      </c>
      <c r="F22" s="78">
        <f>KK!F22-NN!F22</f>
        <v>5.8580935279597856E-20</v>
      </c>
      <c r="G22" s="78">
        <f>SQRT(KK!G22^2+NN!G22^2)</f>
        <v>7.9688120102080857E-18</v>
      </c>
      <c r="H22" s="78">
        <f>KK!H22-NN!H22</f>
        <v>2.0785111270699913E-20</v>
      </c>
      <c r="I22" s="78">
        <f>SQRT(KK!I22^2+NN!I22^2)</f>
        <v>8.0573591542186769E-18</v>
      </c>
      <c r="J22" s="78">
        <f>KK!J22-NN!J22</f>
        <v>-1.8825151464979622E-20</v>
      </c>
      <c r="K22" s="78">
        <f>SQRT(KK!K22^2+NN!K22^2)</f>
        <v>1.0916293148805059E-17</v>
      </c>
      <c r="L22" s="78">
        <f>KK!L22-NN!L22</f>
        <v>1.3458162557601402E-19</v>
      </c>
      <c r="M22" s="78">
        <f>SQRT(KK!M22^2+NN!M22^2)</f>
        <v>1.1055493123954765E-17</v>
      </c>
      <c r="N22" s="36"/>
      <c r="O22" s="33"/>
      <c r="P22" s="37">
        <v>45734</v>
      </c>
      <c r="Q22" s="78">
        <f>MCM!B22-'JS YbReRunShifts'!B12</f>
        <v>-4.0960753921899636E-19</v>
      </c>
      <c r="R22" s="78">
        <f>MCM!C22-'JS YbReRunShifts'!C12</f>
        <v>-1.3789799999999999E-18</v>
      </c>
      <c r="S22" s="78">
        <f>MCM!D22-'JS YbReRunShifts'!D12</f>
        <v>-1.1941813650899986E-18</v>
      </c>
      <c r="T22" s="78">
        <f>MCM!E22-'JS YbReRunShifts'!E12</f>
        <v>-1.3639999999999998E-18</v>
      </c>
      <c r="U22" s="78">
        <f>MCM!F22-'JS YbReRunShifts'!F12</f>
        <v>-4.5409602728100122E-19</v>
      </c>
      <c r="V22" s="78">
        <f>MCM!G22-'JS YbReRunShifts'!G12</f>
        <v>-2.0240000000000002E-18</v>
      </c>
      <c r="W22" s="78">
        <f>MCM!H22-'JS YbReRunShifts'!H12</f>
        <v>-2.5535402783690177E-19</v>
      </c>
      <c r="X22" s="78">
        <f>MCM!I22-'JS YbReRunShifts'!I12</f>
        <v>-2.0790000000000003E-18</v>
      </c>
      <c r="Y22" s="78">
        <f>MCM!J22-'JS YbReRunShifts'!J12</f>
        <v>5.221371104298341E-20</v>
      </c>
      <c r="Z22" s="78">
        <f>MCM!K22-'JS YbReRunShifts'!K12</f>
        <v>-2.252E-18</v>
      </c>
      <c r="AA22" s="78">
        <f>MCM!L22-'JS YbReRunShifts'!L12</f>
        <v>-1.0310986503201162E-19</v>
      </c>
      <c r="AB22" s="78">
        <f>MCM!M22-'JS YbReRunShifts'!M12</f>
        <v>-2.3010000000000003E-18</v>
      </c>
      <c r="AC22" s="36"/>
      <c r="AD22" s="33"/>
    </row>
    <row r="23" spans="1:45" ht="18" customHeight="1">
      <c r="A23" s="37">
        <v>45736</v>
      </c>
      <c r="B23" s="78">
        <f>KK!B23-NN!B23</f>
        <v>-1.6937067394997851E-20</v>
      </c>
      <c r="C23" s="78">
        <f>SQRT(KK!C23^2+NN!C23^2)</f>
        <v>1.4413758436919566E-18</v>
      </c>
      <c r="D23" s="78">
        <f>KK!D23-NN!D23</f>
        <v>2.1192617964899572E-19</v>
      </c>
      <c r="E23" s="78">
        <f>SQRT(KK!E23^2+NN!E23^2)</f>
        <v>1.4661676182127255E-18</v>
      </c>
      <c r="F23" s="78">
        <f>KK!F23-NN!F23</f>
        <v>-3.4074886692500394E-20</v>
      </c>
      <c r="G23" s="78">
        <f>SQRT(KK!G23^2+NN!G23^2)</f>
        <v>4.7591808159283644E-18</v>
      </c>
      <c r="H23" s="78">
        <f>KK!H23-NN!H23</f>
        <v>-4.6393563863599002E-20</v>
      </c>
      <c r="I23" s="78">
        <f>SQRT(KK!I23^2+NN!I23^2)</f>
        <v>4.6592474350469577E-18</v>
      </c>
      <c r="J23" s="78">
        <f>KK!J23-NN!J23</f>
        <v>-6.5979391792598696E-19</v>
      </c>
      <c r="K23" s="78">
        <f>SQRT(KK!K23^2+NN!K23^2)</f>
        <v>4.6231739510093001E-18</v>
      </c>
      <c r="L23" s="78">
        <f>KK!L23-NN!L23</f>
        <v>-7.4838492251986396E-20</v>
      </c>
      <c r="M23" s="78">
        <f>SQRT(KK!M23^2+NN!M23^2)</f>
        <v>4.5959770586077682E-18</v>
      </c>
      <c r="N23" s="36"/>
      <c r="O23" s="33"/>
      <c r="P23" s="37">
        <v>45736</v>
      </c>
      <c r="Q23" s="78">
        <f>MCM!B23-'JS YbReRunShifts'!B13</f>
        <v>-3.727593491139882E-19</v>
      </c>
      <c r="R23" s="78">
        <f>MCM!C23-'JS YbReRunShifts'!C13</f>
        <v>-2.4396699999999994E-19</v>
      </c>
      <c r="S23" s="78">
        <f>MCM!D23-'JS YbReRunShifts'!D13</f>
        <v>-5.7748056331200073E-19</v>
      </c>
      <c r="T23" s="78">
        <f>MCM!E23-'JS YbReRunShifts'!E13</f>
        <v>-2.8199999999999992E-19</v>
      </c>
      <c r="U23" s="78">
        <f>MCM!F23-'JS YbReRunShifts'!F13</f>
        <v>-2.8484952569710077E-19</v>
      </c>
      <c r="V23" s="78">
        <f>MCM!G23-'JS YbReRunShifts'!G13</f>
        <v>-1.4389999999999998E-18</v>
      </c>
      <c r="W23" s="78">
        <f>MCM!H23-'JS YbReRunShifts'!H13</f>
        <v>-3.7136345712090111E-19</v>
      </c>
      <c r="X23" s="78">
        <f>MCM!I23-'JS YbReRunShifts'!I13</f>
        <v>-1.416E-18</v>
      </c>
      <c r="Y23" s="78">
        <f>MCM!J23-'JS YbReRunShifts'!J13</f>
        <v>6.6456909627501619E-19</v>
      </c>
      <c r="Z23" s="78">
        <f>MCM!K23-'JS YbReRunShifts'!K13</f>
        <v>-1.4510000000000002E-18</v>
      </c>
      <c r="AA23" s="78">
        <f>MCM!L23-'JS YbReRunShifts'!L13</f>
        <v>-1.2038962741199038E-19</v>
      </c>
      <c r="AB23" s="78">
        <f>MCM!M23-'JS YbReRunShifts'!M13</f>
        <v>-1.4350000000000001E-18</v>
      </c>
      <c r="AC23" s="36"/>
      <c r="AD23" s="33"/>
    </row>
    <row r="24" spans="1:45" ht="18" customHeight="1">
      <c r="A24" s="37">
        <v>45737</v>
      </c>
      <c r="B24" s="78">
        <f>KK!B24-NN!B24</f>
        <v>-3.0081447736991391E-20</v>
      </c>
      <c r="C24" s="78">
        <f>SQRT(KK!C24^2+NN!C24^2)</f>
        <v>1.6117953314666908E-18</v>
      </c>
      <c r="D24" s="78">
        <f>KK!D24-NN!D24</f>
        <v>5.3990779333099725E-19</v>
      </c>
      <c r="E24" s="78">
        <f>SQRT(KK!E24^2+NN!E24^2)</f>
        <v>1.9229232887036278E-18</v>
      </c>
      <c r="F24" s="78">
        <f>KK!F24-NN!F24</f>
        <v>-3.8551612626001657E-21</v>
      </c>
      <c r="G24" s="78">
        <f>SQRT(KK!G24^2+NN!G24^2)</f>
        <v>5.466992672073932E-18</v>
      </c>
      <c r="H24" s="78">
        <f>KK!H24-NN!H24</f>
        <v>6.590259983193E-20</v>
      </c>
      <c r="I24" s="78">
        <f>SQRT(KK!I24^2+NN!I24^2)</f>
        <v>5.5610998390775349E-18</v>
      </c>
      <c r="J24" s="78">
        <f>KK!J24-NN!J24</f>
        <v>7.3757836400001048E-19</v>
      </c>
      <c r="K24" s="78">
        <f>SQRT(KK!K24^2+NN!K24^2)</f>
        <v>5.319002239393437E-18</v>
      </c>
      <c r="L24" s="78">
        <f>KK!L24-NN!L24</f>
        <v>1.3666868048000229E-18</v>
      </c>
      <c r="M24" s="78">
        <f>SQRT(KK!M24^2+NN!M24^2)</f>
        <v>5.6085862786921381E-18</v>
      </c>
      <c r="N24" s="56" t="s">
        <v>24</v>
      </c>
      <c r="O24" s="57"/>
      <c r="P24" s="37">
        <v>45737</v>
      </c>
      <c r="Q24" s="78">
        <f>MCM!B24-'JS YbReRunShifts'!B14</f>
        <v>-5.9121156727099823E-19</v>
      </c>
      <c r="R24" s="78">
        <f>MCM!C24-'JS YbReRunShifts'!C14</f>
        <v>-4.0097500000000009E-19</v>
      </c>
      <c r="S24" s="78">
        <f>MCM!D24-'JS YbReRunShifts'!D14</f>
        <v>-8.68623297416993E-19</v>
      </c>
      <c r="T24" s="78">
        <f>MCM!E24-'JS YbReRunShifts'!E14</f>
        <v>-3.800000000000001E-19</v>
      </c>
      <c r="U24" s="78">
        <f>MCM!F24-'JS YbReRunShifts'!F14</f>
        <v>-3.0732757664479913E-19</v>
      </c>
      <c r="V24" s="78">
        <f>MCM!G24-'JS YbReRunShifts'!G14</f>
        <v>-1.2979999999999996E-18</v>
      </c>
      <c r="W24" s="78">
        <f>MCM!H24-'JS YbReRunShifts'!H14</f>
        <v>8.0741525944504693E-21</v>
      </c>
      <c r="X24" s="78">
        <f>MCM!I24-'JS YbReRunShifts'!I14</f>
        <v>-1.2240000000000006E-18</v>
      </c>
      <c r="Y24" s="78">
        <f>MCM!J24-'JS YbReRunShifts'!J14</f>
        <v>2.2835878953002256E-19</v>
      </c>
      <c r="Z24" s="78">
        <f>MCM!K24-'JS YbReRunShifts'!K14</f>
        <v>-1.1519999999999997E-18</v>
      </c>
      <c r="AA24" s="78">
        <f>MCM!L24-'JS YbReRunShifts'!L14</f>
        <v>-3.6119165358986967E-20</v>
      </c>
      <c r="AB24" s="78">
        <f>MCM!M24-'JS YbReRunShifts'!M14</f>
        <v>-1.1799999999999995E-18</v>
      </c>
      <c r="AC24" s="56" t="s">
        <v>24</v>
      </c>
      <c r="AD24" s="58"/>
    </row>
    <row r="25" spans="1:45" ht="18" customHeight="1">
      <c r="A25" s="39" t="s">
        <v>25</v>
      </c>
      <c r="B25" s="40" t="e">
        <f>SUMPRODUCT(KK!B16:B24,1/KK!C16:C24^2)/SUM(1/KK!C16:C24^2)-SUMPRODUCT(NN!B16:B24,1/NN!C16:C24^2)/SUM(1/NN!C16:C24^2)</f>
        <v>#VALUE!</v>
      </c>
      <c r="C25" s="36"/>
      <c r="D25" s="40" t="e">
        <f>SUMPRODUCT(KK!D16:D24,1/KK!E16:E24^2)/SUM(1/KK!E16:E24^2)-SUMPRODUCT(NN!D16:D24,1/NN!E16:E24^2)/SUM(1/NN!E16:E24^2)</f>
        <v>#VALUE!</v>
      </c>
      <c r="E25" s="36"/>
      <c r="F25" s="40" t="e">
        <f>SUMPRODUCT(KK!F16:F24,1/KK!G16:G24^2)/SUM(1/KK!G16:G24^2)-SUMPRODUCT(NN!F16:F24,1/NN!G16:G24^2)/SUM(1/NN!G16:G24^2)</f>
        <v>#VALUE!</v>
      </c>
      <c r="G25" s="36"/>
      <c r="H25" s="40" t="e">
        <f>SUMPRODUCT(KK!H16:H24,1/KK!I16:I24^2)/SUM(1/KK!I16:I24^2)-SUMPRODUCT(NN!H16:H24,1/NN!I16:I24^2)/SUM(1/NN!I16:I24^2)</f>
        <v>#VALUE!</v>
      </c>
      <c r="I25" s="36"/>
      <c r="J25" s="40" t="e">
        <f>SUMPRODUCT(KK!J16:J24,1/KK!K16:K24^2)/SUM(1/KK!K16:K24^2)-SUMPRODUCT(NN!J16:J24,1/NN!K16:K24^2)/SUM(1/NN!K16:K24^2)</f>
        <v>#VALUE!</v>
      </c>
      <c r="K25" s="36"/>
      <c r="L25" s="40" t="e">
        <f>SUMPRODUCT(KK!L16:L24,1/KK!M16:M24^2)/SUM(1/KK!M16:M24^2)-SUMPRODUCT(NN!L16:L24,1/NN!M16:M24^2)/SUM(1/NN!M16:M24^2)</f>
        <v>#VALUE!</v>
      </c>
      <c r="M25" s="36"/>
      <c r="N25" s="35" t="e">
        <f>AVERAGE(ABS(B25),ABS(D25),ABS(F25),ABS(H25),ABS(J25),ABS(L25))</f>
        <v>#VALUE!</v>
      </c>
      <c r="O25" s="33"/>
      <c r="P25" s="37" t="s">
        <v>28</v>
      </c>
      <c r="Q25" s="40" t="e">
        <f>SUMPRODUCT(MCM!B16:B24,1/MCM!C16:C24^2)/SUM(1/MCM!C16:C24^2)-SUMPRODUCT('JS YbReRunShifts'!B6:B14,1/'JS YbReRunShifts'!C6:C14^2)/SUM(1/'JS YbReRunShifts'!C6:C14^2)</f>
        <v>#VALUE!</v>
      </c>
      <c r="R25" s="36"/>
      <c r="S25" s="40" t="e">
        <f>SUMPRODUCT(MCM!D16:D24,1/MCM!E16:E24^2)/SUM(1/MCM!E16:E24^2)-SUMPRODUCT('JS YbReRunShifts'!D6:D14,1/'JS YbReRunShifts'!E6:E14^2)/SUM(1/'JS YbReRunShifts'!E6:E14^2)</f>
        <v>#VALUE!</v>
      </c>
      <c r="T25" s="36"/>
      <c r="U25" s="40" t="e">
        <f>SUMPRODUCT(MCM!F16:F24,1/MCM!G16:G24^2)/SUM(1/MCM!G16:G24^2)-SUMPRODUCT('JS YbReRunShifts'!F6:F14,1/'JS YbReRunShifts'!G6:G14^2)/SUM(1/'JS YbReRunShifts'!G6:G14^2)</f>
        <v>#VALUE!</v>
      </c>
      <c r="V25" s="36"/>
      <c r="W25" s="40" t="e">
        <f>SUMPRODUCT(MCM!H16:H24,1/MCM!I16:I24^2)/SUM(1/MCM!I16:I24^2)-SUMPRODUCT('JS YbReRunShifts'!H6:H14,1/'JS YbReRunShifts'!I6:I14^2)/SUM(1/'JS YbReRunShifts'!I6:I14^2)</f>
        <v>#VALUE!</v>
      </c>
      <c r="X25" s="36"/>
      <c r="Y25" s="40" t="e">
        <f>SUMPRODUCT(MCM!J16:J24,1/MCM!K16:K24^2)/SUM(1/MCM!K16:K24^2)-SUMPRODUCT('JS YbReRunShifts'!J6:J14,1/'JS YbReRunShifts'!K6:K14^2)/SUM(1/'JS YbReRunShifts'!K6:K14^2)</f>
        <v>#VALUE!</v>
      </c>
      <c r="Z25" s="36"/>
      <c r="AA25" s="40" t="e">
        <f>SUMPRODUCT(MCM!L16:L24,1/MCM!M16:M24^2)/SUM(1/MCM!M16:M24^2)-SUMPRODUCT('JS YbReRunShifts'!L6:L14,1/'JS YbReRunShifts'!M6:M14^2)/SUM(1/'JS YbReRunShifts'!M6:M14^2)</f>
        <v>#VALUE!</v>
      </c>
      <c r="AB25" s="36"/>
      <c r="AC25" s="35" t="e">
        <f>AVERAGE(ABS(Q25),ABS(S25),ABS(U25),ABS(W25),ABS(Y25),ABS(AA25))</f>
        <v>#VALUE!</v>
      </c>
      <c r="AD25" s="35"/>
    </row>
    <row r="26" spans="1:45" ht="18" customHeight="1">
      <c r="A26" s="41"/>
      <c r="B26" s="42"/>
      <c r="C26" s="36"/>
      <c r="D26" s="42"/>
      <c r="E26" s="36"/>
      <c r="F26" s="42"/>
      <c r="G26" s="36"/>
      <c r="H26" s="42"/>
      <c r="I26" s="36"/>
      <c r="J26" s="42"/>
      <c r="K26" s="36"/>
      <c r="L26" s="42"/>
      <c r="M26" s="36"/>
      <c r="N26" s="59"/>
      <c r="O26" s="57"/>
      <c r="P26" s="41"/>
      <c r="Q26" s="42"/>
      <c r="R26" s="36"/>
      <c r="S26" s="42"/>
      <c r="T26" s="36"/>
      <c r="U26" s="42"/>
      <c r="V26" s="36"/>
      <c r="W26" s="42"/>
      <c r="X26" s="36"/>
      <c r="Y26" s="42"/>
      <c r="Z26" s="36"/>
      <c r="AA26" s="42"/>
      <c r="AB26" s="36"/>
      <c r="AC26" s="59"/>
      <c r="AD26" s="58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</row>
    <row r="27" spans="1:45" ht="18" customHeight="1"/>
    <row r="28" spans="1:45" ht="18" customHeight="1"/>
    <row r="29" spans="1:45" ht="18" customHeight="1">
      <c r="A29" s="4" t="s">
        <v>0</v>
      </c>
      <c r="B29" s="30" t="s">
        <v>1</v>
      </c>
      <c r="C29" s="3" t="s">
        <v>2</v>
      </c>
      <c r="D29" s="31" t="s">
        <v>3</v>
      </c>
      <c r="E29" s="3" t="s">
        <v>4</v>
      </c>
      <c r="F29" s="30" t="s">
        <v>5</v>
      </c>
      <c r="G29" s="3" t="s">
        <v>6</v>
      </c>
      <c r="H29" s="31" t="s">
        <v>7</v>
      </c>
      <c r="I29" s="3" t="s">
        <v>8</v>
      </c>
      <c r="J29" s="30" t="s">
        <v>9</v>
      </c>
      <c r="K29" s="3" t="s">
        <v>10</v>
      </c>
      <c r="L29" s="31" t="s">
        <v>11</v>
      </c>
      <c r="M29" s="3" t="s">
        <v>12</v>
      </c>
      <c r="N29" s="32" t="s">
        <v>29</v>
      </c>
      <c r="O29" s="33"/>
      <c r="P29" s="4" t="s">
        <v>0</v>
      </c>
      <c r="Q29" s="30" t="s">
        <v>1</v>
      </c>
      <c r="R29" s="3" t="s">
        <v>2</v>
      </c>
      <c r="S29" s="31" t="s">
        <v>3</v>
      </c>
      <c r="T29" s="3" t="s">
        <v>4</v>
      </c>
      <c r="U29" s="30" t="s">
        <v>5</v>
      </c>
      <c r="V29" s="3" t="s">
        <v>6</v>
      </c>
      <c r="W29" s="31" t="s">
        <v>7</v>
      </c>
      <c r="X29" s="3" t="s">
        <v>8</v>
      </c>
      <c r="Y29" s="30" t="s">
        <v>9</v>
      </c>
      <c r="Z29" s="3" t="s">
        <v>10</v>
      </c>
      <c r="AA29" s="31" t="s">
        <v>11</v>
      </c>
      <c r="AB29" s="3" t="s">
        <v>12</v>
      </c>
      <c r="AC29" s="32" t="s">
        <v>30</v>
      </c>
      <c r="AD29" s="44"/>
    </row>
    <row r="30" spans="1:45" ht="18" customHeight="1">
      <c r="A30" s="37">
        <v>45715</v>
      </c>
      <c r="B30" s="78">
        <f>KK!B16-'JS YbReRunShifts'!B6</f>
        <v>-2.4890108439600023E-19</v>
      </c>
      <c r="C30" s="78">
        <f>KK!C16-'JS YbReRunShifts'!C6</f>
        <v>-3.111644496152201E-19</v>
      </c>
      <c r="D30" s="78">
        <f>KK!D16-'JS YbReRunShifts'!D6</f>
        <v>-3.8616786205999371E-19</v>
      </c>
      <c r="E30" s="78">
        <f>KK!E16-'JS YbReRunShifts'!E6</f>
        <v>-2.5574405198550014E-19</v>
      </c>
      <c r="F30" s="78">
        <f>KK!F16-'JS YbReRunShifts'!F6</f>
        <v>-8.9607452257005653E-21</v>
      </c>
      <c r="G30" s="78">
        <f>KK!G16-'JS YbReRunShifts'!G6</f>
        <v>-1.3506452257754496E-18</v>
      </c>
      <c r="H30" s="78">
        <f>KK!H16-'JS YbReRunShifts'!H6</f>
        <v>-1.80485626920999E-19</v>
      </c>
      <c r="I30" s="78">
        <f>KK!I16-'JS YbReRunShifts'!I6</f>
        <v>-1.4540107057618698E-18</v>
      </c>
      <c r="J30" s="78">
        <f>KK!J16-'JS YbReRunShifts'!J6</f>
        <v>-2.6933960881501774E-19</v>
      </c>
      <c r="K30" s="78">
        <f>KK!K16-'JS YbReRunShifts'!K6</f>
        <v>-1.3760485882383101E-18</v>
      </c>
      <c r="L30" s="78">
        <f>KK!L16-'JS YbReRunShifts'!L6</f>
        <v>-4.7159390356399737E-19</v>
      </c>
      <c r="M30" s="78">
        <f>KK!M16-'JS YbReRunShifts'!M6</f>
        <v>-1.0668650154065604E-18</v>
      </c>
      <c r="N30" s="36"/>
      <c r="O30" s="33"/>
      <c r="P30" s="37">
        <v>45715</v>
      </c>
      <c r="Q30" s="78">
        <f>NN!B16-'JS YbReRunShifts'!B6</f>
        <v>-3.9967050223993283E-20</v>
      </c>
      <c r="R30" s="78">
        <f>NN!C16-'JS YbReRunShifts'!C6</f>
        <v>-5.0000000000000119E-20</v>
      </c>
      <c r="S30" s="78">
        <f>NN!D16-'JS YbReRunShifts'!D6</f>
        <v>-3.8368765348498825E-19</v>
      </c>
      <c r="T30" s="78">
        <f>NN!E16-'JS YbReRunShifts'!E6</f>
        <v>-6.0000000000000066E-20</v>
      </c>
      <c r="U30" s="78">
        <f>NN!F16-'JS YbReRunShifts'!F6</f>
        <v>1.0844630684409915E-19</v>
      </c>
      <c r="V30" s="78">
        <f>NN!G16-'JS YbReRunShifts'!G6</f>
        <v>-8.9999999999999945E-19</v>
      </c>
      <c r="W30" s="78">
        <f>NN!H16-'JS YbReRunShifts'!H6</f>
        <v>1.7290219522800773E-20</v>
      </c>
      <c r="X30" s="78">
        <f>NN!I16-'JS YbReRunShifts'!I6</f>
        <v>-1.1799999999999999E-18</v>
      </c>
      <c r="Y30" s="78">
        <f>NN!J16-'JS YbReRunShifts'!J6</f>
        <v>7.0582528902988719E-20</v>
      </c>
      <c r="Z30" s="78">
        <f>NN!K16-'JS YbReRunShifts'!K6</f>
        <v>-9.6000000000000028E-19</v>
      </c>
      <c r="AA30" s="78">
        <f>NN!L16-'JS YbReRunShifts'!L6</f>
        <v>-3.902414696750068E-19</v>
      </c>
      <c r="AB30" s="78">
        <f>NN!M16-'JS YbReRunShifts'!M6</f>
        <v>-8.1000000000000031E-19</v>
      </c>
      <c r="AC30" s="36"/>
      <c r="AD30" s="33"/>
    </row>
    <row r="31" spans="1:45" ht="18" customHeight="1">
      <c r="A31" s="37">
        <v>45716</v>
      </c>
      <c r="B31" s="78">
        <f>KK!B17-'JS YbReRunShifts'!B7</f>
        <v>-1.3732574434400692E-19</v>
      </c>
      <c r="C31" s="78">
        <f>KK!C17-'JS YbReRunShifts'!C7</f>
        <v>-2.1500114191966014E-19</v>
      </c>
      <c r="D31" s="78">
        <f>KK!D17-'JS YbReRunShifts'!D7</f>
        <v>-2.4400007833699365E-19</v>
      </c>
      <c r="E31" s="78">
        <f>KK!E17-'JS YbReRunShifts'!E7</f>
        <v>-2.4132344800833006E-19</v>
      </c>
      <c r="F31" s="78">
        <f>KK!F17-'JS YbReRunShifts'!F7</f>
        <v>5.631921776449996E-20</v>
      </c>
      <c r="G31" s="78">
        <f>KK!G17-'JS YbReRunShifts'!G7</f>
        <v>-1.2081709150106203E-18</v>
      </c>
      <c r="H31" s="78">
        <f>KK!H17-'JS YbReRunShifts'!H7</f>
        <v>-1.2028543484959966E-19</v>
      </c>
      <c r="I31" s="78">
        <f>KK!I17-'JS YbReRunShifts'!I7</f>
        <v>-1.1985472363920503E-18</v>
      </c>
      <c r="J31" s="78">
        <f>KK!J17-'JS YbReRunShifts'!J7</f>
        <v>-1.3221769001500613E-19</v>
      </c>
      <c r="K31" s="78">
        <f>KK!K17-'JS YbReRunShifts'!K7</f>
        <v>-1.1611163681750002E-18</v>
      </c>
      <c r="L31" s="78">
        <f>KK!L17-'JS YbReRunShifts'!L7</f>
        <v>-7.712077985400612E-20</v>
      </c>
      <c r="M31" s="78">
        <f>KK!M17-'JS YbReRunShifts'!M7</f>
        <v>-1.1857211979918598E-18</v>
      </c>
      <c r="N31" s="36"/>
      <c r="O31" s="33"/>
      <c r="P31" s="37">
        <v>45716</v>
      </c>
      <c r="Q31" s="78">
        <f>NN!B17-'JS YbReRunShifts'!B7</f>
        <v>-2.5494107386008215E-20</v>
      </c>
      <c r="R31" s="78">
        <f>NN!C17-'JS YbReRunShifts'!C7</f>
        <v>-1.8000000000000001E-19</v>
      </c>
      <c r="S31" s="78">
        <f>NN!D17-'JS YbReRunShifts'!D7</f>
        <v>-7.4210922235999078E-19</v>
      </c>
      <c r="T31" s="78">
        <f>NN!E17-'JS YbReRunShifts'!E7</f>
        <v>-2.1000000000000004E-19</v>
      </c>
      <c r="U31" s="78">
        <f>NN!F17-'JS YbReRunShifts'!F7</f>
        <v>1.1355209868080104E-19</v>
      </c>
      <c r="V31" s="78">
        <f>NN!G17-'JS YbReRunShifts'!G7</f>
        <v>-6.6000000000000034E-19</v>
      </c>
      <c r="W31" s="78">
        <f>NN!H17-'JS YbReRunShifts'!H7</f>
        <v>2.6698428591600558E-20</v>
      </c>
      <c r="X31" s="78">
        <f>NN!I17-'JS YbReRunShifts'!I7</f>
        <v>-6.7000000000000029E-19</v>
      </c>
      <c r="Y31" s="78">
        <f>NN!J17-'JS YbReRunShifts'!J7</f>
        <v>-7.0050699059997188E-20</v>
      </c>
      <c r="Z31" s="78">
        <f>NN!K17-'JS YbReRunShifts'!K7</f>
        <v>-1.1400000000000001E-18</v>
      </c>
      <c r="AA31" s="78">
        <f>NN!L17-'JS YbReRunShifts'!L7</f>
        <v>-8.8481087105799117E-19</v>
      </c>
      <c r="AB31" s="78">
        <f>NN!M17-'JS YbReRunShifts'!M7</f>
        <v>-1.1699999999999999E-18</v>
      </c>
      <c r="AC31" s="36"/>
      <c r="AD31" s="33"/>
    </row>
    <row r="32" spans="1:45" ht="18" customHeight="1">
      <c r="A32" s="37">
        <v>45720</v>
      </c>
      <c r="B32" s="78">
        <f>KK!B18-'JS YbReRunShifts'!B8</f>
        <v>-7.5690189962998991E-20</v>
      </c>
      <c r="C32" s="78">
        <f>KK!C18-'JS YbReRunShifts'!C8</f>
        <v>-1.9525837612593999E-19</v>
      </c>
      <c r="D32" s="78">
        <f>KK!D18-'JS YbReRunShifts'!D8</f>
        <v>9.5060691121008112E-20</v>
      </c>
      <c r="E32" s="78">
        <f>KK!E18-'JS YbReRunShifts'!E8</f>
        <v>-2.0562620178678995E-19</v>
      </c>
      <c r="F32" s="78">
        <f>KK!F18-'JS YbReRunShifts'!F8</f>
        <v>1.3582394237400007E-19</v>
      </c>
      <c r="G32" s="78">
        <f>KK!G18-'JS YbReRunShifts'!G8</f>
        <v>-1.4764035446337099E-18</v>
      </c>
      <c r="H32" s="78">
        <f>KK!H18-'JS YbReRunShifts'!H8</f>
        <v>-3.646885046510094E-20</v>
      </c>
      <c r="I32" s="78">
        <f>KK!I18-'JS YbReRunShifts'!I8</f>
        <v>-1.4936549475923798E-18</v>
      </c>
      <c r="J32" s="78">
        <f>KK!J18-'JS YbReRunShifts'!J8</f>
        <v>5.4373971725008659E-20</v>
      </c>
      <c r="K32" s="78">
        <f>KK!K18-'JS YbReRunShifts'!K8</f>
        <v>-1.4589799088249698E-18</v>
      </c>
      <c r="L32" s="78">
        <f>KK!L18-'JS YbReRunShifts'!L8</f>
        <v>2.4525117552992439E-20</v>
      </c>
      <c r="M32" s="78">
        <f>KK!M18-'JS YbReRunShifts'!M8</f>
        <v>-1.4833482035084798E-18</v>
      </c>
      <c r="N32" s="36"/>
      <c r="O32" s="33"/>
      <c r="P32" s="37">
        <v>45720</v>
      </c>
      <c r="Q32" s="78">
        <f>NN!B18-'JS YbReRunShifts'!B8</f>
        <v>-1.5890695576992608E-20</v>
      </c>
      <c r="R32" s="78">
        <f>NN!C18-'JS YbReRunShifts'!C8</f>
        <v>-1.4999999999999997E-19</v>
      </c>
      <c r="S32" s="78">
        <f>NN!D18-'JS YbReRunShifts'!D8</f>
        <v>-1.7679565375599655E-19</v>
      </c>
      <c r="T32" s="78">
        <f>NN!E18-'JS YbReRunShifts'!E8</f>
        <v>-1.5999999999999992E-19</v>
      </c>
      <c r="U32" s="78">
        <f>NN!F18-'JS YbReRunShifts'!F8</f>
        <v>1.0857431475240113E-19</v>
      </c>
      <c r="V32" s="78">
        <f>NN!G18-'JS YbReRunShifts'!G8</f>
        <v>-9.7000000000000023E-19</v>
      </c>
      <c r="W32" s="78">
        <f>NN!H18-'JS YbReRunShifts'!H8</f>
        <v>2.038317577189854E-20</v>
      </c>
      <c r="X32" s="78">
        <f>NN!I18-'JS YbReRunShifts'!I8</f>
        <v>-1.0000000000000001E-18</v>
      </c>
      <c r="Y32" s="78">
        <f>NN!J18-'JS YbReRunShifts'!J8</f>
        <v>9.1359778052006414E-20</v>
      </c>
      <c r="Z32" s="78">
        <f>NN!K18-'JS YbReRunShifts'!K8</f>
        <v>-1.02E-18</v>
      </c>
      <c r="AA32" s="78">
        <f>NN!L18-'JS YbReRunShifts'!L8</f>
        <v>-6.3485261521992572E-20</v>
      </c>
      <c r="AB32" s="78">
        <f>NN!M18-'JS YbReRunShifts'!M8</f>
        <v>-1.0299999999999999E-18</v>
      </c>
      <c r="AC32" s="36"/>
      <c r="AD32" s="33"/>
    </row>
    <row r="33" spans="1:30" ht="18" customHeight="1">
      <c r="A33" s="37">
        <v>45722</v>
      </c>
      <c r="B33" s="78">
        <f>KK!B19-'JS YbReRunShifts'!B9</f>
        <v>-4.9953315176002902E-20</v>
      </c>
      <c r="C33" s="78">
        <f>KK!C19-'JS YbReRunShifts'!C9</f>
        <v>-1.06844563304161E-18</v>
      </c>
      <c r="D33" s="78">
        <f>KK!D19-'JS YbReRunShifts'!D9</f>
        <v>-4.3054720959006683E-20</v>
      </c>
      <c r="E33" s="78">
        <f>KK!E19-'JS YbReRunShifts'!E9</f>
        <v>-1.0515126534059201E-18</v>
      </c>
      <c r="F33" s="78">
        <f>KK!F19-'JS YbReRunShifts'!F9</f>
        <v>-1.2024872847200518E-20</v>
      </c>
      <c r="G33" s="78">
        <f>KK!G19-'JS YbReRunShifts'!G9</f>
        <v>-1.5583808003896103E-18</v>
      </c>
      <c r="H33" s="78">
        <f>KK!H19-'JS YbReRunShifts'!H9</f>
        <v>-1.5109683068979975E-19</v>
      </c>
      <c r="I33" s="78">
        <f>KK!I19-'JS YbReRunShifts'!I9</f>
        <v>-1.5675963118521699E-18</v>
      </c>
      <c r="J33" s="78">
        <f>KK!J19-'JS YbReRunShifts'!J9</f>
        <v>1.0893657637680039E-18</v>
      </c>
      <c r="K33" s="78">
        <f>KK!K19-'JS YbReRunShifts'!K9</f>
        <v>-1.2328359733334695E-18</v>
      </c>
      <c r="L33" s="78">
        <f>KK!L19-'JS YbReRunShifts'!L9</f>
        <v>9.1913467317700374E-19</v>
      </c>
      <c r="M33" s="78">
        <f>KK!M19-'JS YbReRunShifts'!M9</f>
        <v>-1.2607293884705201E-18</v>
      </c>
      <c r="N33" s="36"/>
      <c r="O33" s="33"/>
      <c r="P33" s="37">
        <v>45722</v>
      </c>
      <c r="Q33" s="78">
        <f>NN!B19-'JS YbReRunShifts'!B9</f>
        <v>-3.1537509027001181E-20</v>
      </c>
      <c r="R33" s="78">
        <f>NN!C19-'JS YbReRunShifts'!C9</f>
        <v>-9.4000000000000001E-19</v>
      </c>
      <c r="S33" s="78">
        <f>NN!D19-'JS YbReRunShifts'!D9</f>
        <v>-8.7175942178400597E-19</v>
      </c>
      <c r="T33" s="78">
        <f>NN!E19-'JS YbReRunShifts'!E9</f>
        <v>-9.4000000000000001E-19</v>
      </c>
      <c r="U33" s="78">
        <f>NN!F19-'JS YbReRunShifts'!F9</f>
        <v>1.0120741733057996E-18</v>
      </c>
      <c r="V33" s="78">
        <f>NN!G19-'JS YbReRunShifts'!G9</f>
        <v>-6.2999999999999973E-19</v>
      </c>
      <c r="W33" s="78">
        <f>NN!H19-'JS YbReRunShifts'!H9</f>
        <v>8.4742161231579866E-19</v>
      </c>
      <c r="X33" s="78">
        <f>NN!I19-'JS YbReRunShifts'!I9</f>
        <v>-6.3999999999999968E-19</v>
      </c>
      <c r="Y33" s="78">
        <f>NN!J19-'JS YbReRunShifts'!J9</f>
        <v>8.7965733724989862E-20</v>
      </c>
      <c r="Z33" s="78">
        <f>NN!K19-'JS YbReRunShifts'!K9</f>
        <v>-7.3999999999999991E-19</v>
      </c>
      <c r="AA33" s="78">
        <f>NN!L19-'JS YbReRunShifts'!L9</f>
        <v>-7.7289995963298286E-19</v>
      </c>
      <c r="AB33" s="78">
        <f>NN!M19-'JS YbReRunShifts'!M9</f>
        <v>-7.6000000000000058E-19</v>
      </c>
      <c r="AC33" s="36"/>
      <c r="AD33" s="33"/>
    </row>
    <row r="34" spans="1:30" ht="18" customHeight="1">
      <c r="A34" s="37">
        <v>45723</v>
      </c>
      <c r="B34" s="78">
        <f>KK!B20-'JS YbReRunShifts'!B10</f>
        <v>-1.5168186849800419E-19</v>
      </c>
      <c r="C34" s="78">
        <f>KK!C20-'JS YbReRunShifts'!C10</f>
        <v>-1.8802675466460995E-19</v>
      </c>
      <c r="D34" s="78">
        <f>KK!D20-'JS YbReRunShifts'!D10</f>
        <v>4.8221163602001816E-20</v>
      </c>
      <c r="E34" s="78">
        <f>KK!E20-'JS YbReRunShifts'!E10</f>
        <v>-1.6671536829671999E-19</v>
      </c>
      <c r="F34" s="78">
        <f>KK!F20-'JS YbReRunShifts'!F10</f>
        <v>2.0417102260939867E-19</v>
      </c>
      <c r="G34" s="78">
        <f>KK!G20-'JS YbReRunShifts'!G10</f>
        <v>-1.9005774675358299E-18</v>
      </c>
      <c r="H34" s="78">
        <f>KK!H20-'JS YbReRunShifts'!H10</f>
        <v>5.6101045502700649E-20</v>
      </c>
      <c r="I34" s="78">
        <f>KK!I20-'JS YbReRunShifts'!I10</f>
        <v>-1.8245651510813907E-18</v>
      </c>
      <c r="J34" s="78">
        <f>KK!J20-'JS YbReRunShifts'!J10</f>
        <v>-7.7858094452800514E-19</v>
      </c>
      <c r="K34" s="78">
        <f>KK!K20-'JS YbReRunShifts'!K10</f>
        <v>-1.3318704559877499E-18</v>
      </c>
      <c r="L34" s="78">
        <f>KK!L20-'JS YbReRunShifts'!L10</f>
        <v>-7.4833768883601076E-19</v>
      </c>
      <c r="M34" s="78">
        <f>KK!M20-'JS YbReRunShifts'!M10</f>
        <v>-1.33329203652656E-18</v>
      </c>
      <c r="N34" s="36"/>
      <c r="O34" s="33"/>
      <c r="P34" s="37">
        <v>45723</v>
      </c>
      <c r="Q34" s="78">
        <f>NN!B20-'JS YbReRunShifts'!B10</f>
        <v>-4.3277265554999229E-20</v>
      </c>
      <c r="R34" s="78">
        <f>NN!C20-'JS YbReRunShifts'!C10</f>
        <v>-3.999999999999998E-20</v>
      </c>
      <c r="S34" s="78">
        <f>NN!D20-'JS YbReRunShifts'!D10</f>
        <v>-4.5615663337995434E-20</v>
      </c>
      <c r="T34" s="78">
        <f>NN!E20-'JS YbReRunShifts'!E10</f>
        <v>-5.9999999999999873E-20</v>
      </c>
      <c r="U34" s="78">
        <f>NN!F20-'JS YbReRunShifts'!F10</f>
        <v>1.0942560613909879E-19</v>
      </c>
      <c r="V34" s="78">
        <f>NN!G20-'JS YbReRunShifts'!G10</f>
        <v>-1.3E-18</v>
      </c>
      <c r="W34" s="78">
        <f>NN!H20-'JS YbReRunShifts'!H10</f>
        <v>2.7221668733699567E-20</v>
      </c>
      <c r="X34" s="78">
        <f>NN!I20-'JS YbReRunShifts'!I10</f>
        <v>-1.3200000000000007E-18</v>
      </c>
      <c r="Y34" s="78">
        <f>NN!J20-'JS YbReRunShifts'!J10</f>
        <v>1.233083108169859E-19</v>
      </c>
      <c r="Z34" s="78">
        <f>NN!K20-'JS YbReRunShifts'!K10</f>
        <v>-7.6999999999999975E-19</v>
      </c>
      <c r="AA34" s="78">
        <f>NN!L20-'JS YbReRunShifts'!L10</f>
        <v>-3.0690227168399627E-19</v>
      </c>
      <c r="AB34" s="78">
        <f>NN!M20-'JS YbReRunShifts'!M10</f>
        <v>-8.0999999999999993E-19</v>
      </c>
      <c r="AC34" s="36"/>
      <c r="AD34" s="33"/>
    </row>
    <row r="35" spans="1:30" ht="18" customHeight="1">
      <c r="A35" s="37">
        <v>45729</v>
      </c>
      <c r="B35" s="78">
        <f>KK!B21-'JS YbReRunShifts'!B11</f>
        <v>-4.5684135162900053E-19</v>
      </c>
      <c r="C35" s="78">
        <f>KK!C21-'JS YbReRunShifts'!C11</f>
        <v>-2.6569942460633009E-19</v>
      </c>
      <c r="D35" s="78">
        <f>KK!D21-'JS YbReRunShifts'!D11</f>
        <v>-4.9371750098399829E-19</v>
      </c>
      <c r="E35" s="78">
        <f>KK!E21-'JS YbReRunShifts'!E11</f>
        <v>-2.5544530401755003E-19</v>
      </c>
      <c r="F35" s="78">
        <f>KK!F21-'JS YbReRunShifts'!F11</f>
        <v>1.5997625538640115E-19</v>
      </c>
      <c r="G35" s="78">
        <f>KK!G21-'JS YbReRunShifts'!G11</f>
        <v>-1.4854754160910202E-18</v>
      </c>
      <c r="H35" s="78">
        <f>KK!H21-'JS YbReRunShifts'!H11</f>
        <v>-2.2670171726598796E-20</v>
      </c>
      <c r="I35" s="78">
        <f>KK!I21-'JS YbReRunShifts'!I11</f>
        <v>-1.4613367425370803E-18</v>
      </c>
      <c r="J35" s="78">
        <f>KK!J21-'JS YbReRunShifts'!J11</f>
        <v>-8.6451495868900983E-19</v>
      </c>
      <c r="K35" s="78">
        <f>KK!K21-'JS YbReRunShifts'!K11</f>
        <v>-9.7424648691205014E-19</v>
      </c>
      <c r="L35" s="78">
        <f>KK!L21-'JS YbReRunShifts'!L11</f>
        <v>-6.0681577009201159E-19</v>
      </c>
      <c r="M35" s="78">
        <f>KK!M21-'JS YbReRunShifts'!M11</f>
        <v>-9.8711659674018984E-19</v>
      </c>
      <c r="N35" s="36"/>
      <c r="O35" s="33"/>
      <c r="P35" s="37">
        <v>45729</v>
      </c>
      <c r="Q35" s="78">
        <f>NN!B21-'JS YbReRunShifts'!B11</f>
        <v>-4.3627268852201002E-19</v>
      </c>
      <c r="R35" s="78">
        <f>NN!C21-'JS YbReRunShifts'!C11</f>
        <v>-2.1999999999999998E-19</v>
      </c>
      <c r="S35" s="78">
        <f>NN!D21-'JS YbReRunShifts'!D11</f>
        <v>-5.3625807933499983E-19</v>
      </c>
      <c r="T35" s="78">
        <f>NN!E21-'JS YbReRunShifts'!E11</f>
        <v>-2.1000000000000004E-19</v>
      </c>
      <c r="U35" s="78">
        <f>NN!F21-'JS YbReRunShifts'!F11</f>
        <v>8.2676718038800201E-20</v>
      </c>
      <c r="V35" s="78">
        <f>NN!G21-'JS YbReRunShifts'!G11</f>
        <v>-1.4300000000000001E-18</v>
      </c>
      <c r="W35" s="78">
        <f>NN!H21-'JS YbReRunShifts'!H11</f>
        <v>7.8671247261017918E-21</v>
      </c>
      <c r="X35" s="78">
        <f>NN!I21-'JS YbReRunShifts'!I11</f>
        <v>-1.4000000000000003E-18</v>
      </c>
      <c r="Y35" s="78">
        <f>NN!J21-'JS YbReRunShifts'!J11</f>
        <v>-2.3732571831259954E-18</v>
      </c>
      <c r="Z35" s="78">
        <f>NN!K21-'JS YbReRunShifts'!K11</f>
        <v>-5.4000000000000021E-19</v>
      </c>
      <c r="AA35" s="78">
        <f>NN!L21-'JS YbReRunShifts'!L11</f>
        <v>-2.1532571831260135E-18</v>
      </c>
      <c r="AB35" s="78">
        <f>NN!M21-'JS YbReRunShifts'!M11</f>
        <v>-5.8999999999999994E-19</v>
      </c>
      <c r="AC35" s="36"/>
      <c r="AD35" s="33"/>
    </row>
    <row r="36" spans="1:30" ht="18" customHeight="1">
      <c r="A36" s="37">
        <v>45734</v>
      </c>
      <c r="B36" s="78">
        <f>KK!B22-'JS YbReRunShifts'!B12</f>
        <v>-2.5281951977399847E-19</v>
      </c>
      <c r="C36" s="78">
        <f>KK!C22-'JS YbReRunShifts'!C12</f>
        <v>-1.47756661306663E-18</v>
      </c>
      <c r="D36" s="78">
        <f>KK!D22-'JS YbReRunShifts'!D12</f>
        <v>-4.1421235653700056E-19</v>
      </c>
      <c r="E36" s="78">
        <f>KK!E22-'JS YbReRunShifts'!E12</f>
        <v>-1.4206633189123899E-18</v>
      </c>
      <c r="F36" s="78">
        <f>KK!F22-'JS YbReRunShifts'!F12</f>
        <v>-4.515092001402899E-21</v>
      </c>
      <c r="G36" s="78">
        <f>KK!G22-'JS YbReRunShifts'!G12</f>
        <v>-2.2820342314134299E-18</v>
      </c>
      <c r="H36" s="78">
        <f>KK!H22-'JS YbReRunShifts'!H12</f>
        <v>1.5743108343380037E-19</v>
      </c>
      <c r="I36" s="78">
        <f>KK!I22-'JS YbReRunShifts'!I12</f>
        <v>-2.3274435479727101E-18</v>
      </c>
      <c r="J36" s="78">
        <f>KK!J22-'JS YbReRunShifts'!J12</f>
        <v>4.3388559578002965E-20</v>
      </c>
      <c r="K36" s="78">
        <f>KK!K22-'JS YbReRunShifts'!K12</f>
        <v>-2.5345136228711891E-18</v>
      </c>
      <c r="L36" s="78">
        <f>KK!L22-'JS YbReRunShifts'!L12</f>
        <v>-2.8528239455992658E-20</v>
      </c>
      <c r="M36" s="78">
        <f>KK!M22-'JS YbReRunShifts'!M12</f>
        <v>-2.6322376073070494E-18</v>
      </c>
      <c r="N36" s="36"/>
      <c r="O36" s="33"/>
      <c r="P36" s="37">
        <v>45734</v>
      </c>
      <c r="Q36" s="78">
        <f>NN!B22-'JS YbReRunShifts'!B12</f>
        <v>3.0392460781004381E-20</v>
      </c>
      <c r="R36" s="78">
        <f>NN!C22-'JS YbReRunShifts'!C12</f>
        <v>-1.2299999999999998E-18</v>
      </c>
      <c r="S36" s="78">
        <f>NN!D22-'JS YbReRunShifts'!D12</f>
        <v>-7.7418136508999625E-19</v>
      </c>
      <c r="T36" s="78">
        <f>NN!E22-'JS YbReRunShifts'!E12</f>
        <v>-1.2E-18</v>
      </c>
      <c r="U36" s="78">
        <f>NN!F22-'JS YbReRunShifts'!F12</f>
        <v>-6.3096027281000755E-20</v>
      </c>
      <c r="V36" s="78">
        <f>NN!G22-'JS YbReRunShifts'!G12</f>
        <v>-2.0899999999999997E-18</v>
      </c>
      <c r="W36" s="78">
        <f>NN!H22-'JS YbReRunShifts'!H12</f>
        <v>1.3664597216310046E-19</v>
      </c>
      <c r="X36" s="78">
        <f>NN!I22-'JS YbReRunShifts'!I12</f>
        <v>-2.1000000000000004E-18</v>
      </c>
      <c r="Y36" s="78">
        <f>NN!J22-'JS YbReRunShifts'!J12</f>
        <v>6.2213711042982587E-20</v>
      </c>
      <c r="Z36" s="78">
        <f>NN!K22-'JS YbReRunShifts'!K12</f>
        <v>-1.3899999999999995E-18</v>
      </c>
      <c r="AA36" s="78">
        <f>NN!L22-'JS YbReRunShifts'!L12</f>
        <v>-1.6310986503200668E-19</v>
      </c>
      <c r="AB36" s="78">
        <f>NN!M22-'JS YbReRunShifts'!M12</f>
        <v>-1.4200000000000001E-18</v>
      </c>
      <c r="AC36" s="36"/>
      <c r="AD36" s="33"/>
    </row>
    <row r="37" spans="1:30" ht="18" customHeight="1">
      <c r="A37" s="37">
        <v>45736</v>
      </c>
      <c r="B37" s="78">
        <f>KK!B23-'JS YbReRunShifts'!B13</f>
        <v>-4.9696416508989399E-20</v>
      </c>
      <c r="C37" s="78">
        <f>KK!C23-'JS YbReRunShifts'!C13</f>
        <v>-1.8356866985338098E-19</v>
      </c>
      <c r="D37" s="78">
        <f>KK!D23-'JS YbReRunShifts'!D13</f>
        <v>4.4456163370015008E-21</v>
      </c>
      <c r="E37" s="78">
        <f>KK!E23-'JS YbReRunShifts'!E13</f>
        <v>-2.4211301047797088E-19</v>
      </c>
      <c r="F37" s="78">
        <f>KK!F23-'JS YbReRunShifts'!F13</f>
        <v>-4.2992441238960004E-19</v>
      </c>
      <c r="G37" s="78">
        <f>KK!G23-'JS YbReRunShifts'!G13</f>
        <v>-1.1879280023805198E-18</v>
      </c>
      <c r="H37" s="78">
        <f>KK!H23-'JS YbReRunShifts'!H13</f>
        <v>-5.7475702098450012E-19</v>
      </c>
      <c r="I37" s="78">
        <f>KK!I23-'JS YbReRunShifts'!I13</f>
        <v>-1.1606458343416401E-18</v>
      </c>
      <c r="J37" s="78">
        <f>KK!J23-'JS YbReRunShifts'!J13</f>
        <v>-1.9822482165098117E-19</v>
      </c>
      <c r="K37" s="78">
        <f>KK!K23-'JS YbReRunShifts'!K13</f>
        <v>-1.1534475039670404E-18</v>
      </c>
      <c r="L37" s="78">
        <f>KK!L23-'JS YbReRunShifts'!L13</f>
        <v>1.6477188033601823E-19</v>
      </c>
      <c r="M37" s="78">
        <f>KK!M23-'JS YbReRunShifts'!M13</f>
        <v>-1.11972230518982E-18</v>
      </c>
      <c r="N37" s="36"/>
      <c r="O37" s="33"/>
      <c r="P37" s="37">
        <v>45736</v>
      </c>
      <c r="Q37" s="78">
        <f>NN!B23-'JS YbReRunShifts'!B13</f>
        <v>-3.2759349113991547E-20</v>
      </c>
      <c r="R37" s="78">
        <f>NN!C23-'JS YbReRunShifts'!C13</f>
        <v>-1.5000000000000113E-20</v>
      </c>
      <c r="S37" s="78">
        <f>NN!D23-'JS YbReRunShifts'!D13</f>
        <v>-2.0748056331199422E-19</v>
      </c>
      <c r="T37" s="78">
        <f>NN!E23-'JS YbReRunShifts'!E13</f>
        <v>-8.9999999999999906E-20</v>
      </c>
      <c r="U37" s="78">
        <f>NN!F23-'JS YbReRunShifts'!F13</f>
        <v>-3.9584952569709964E-19</v>
      </c>
      <c r="V37" s="78">
        <f>NN!G23-'JS YbReRunShifts'!G13</f>
        <v>-5.7000000000000005E-19</v>
      </c>
      <c r="W37" s="78">
        <f>NN!H23-'JS YbReRunShifts'!H13</f>
        <v>-5.2836345712090112E-19</v>
      </c>
      <c r="X37" s="78">
        <f>NN!I23-'JS YbReRunShifts'!I13</f>
        <v>-6.5000000000000039E-19</v>
      </c>
      <c r="Y37" s="78">
        <f>NN!J23-'JS YbReRunShifts'!J13</f>
        <v>4.615690962750058E-19</v>
      </c>
      <c r="Z37" s="78">
        <f>NN!K23-'JS YbReRunShifts'!K13</f>
        <v>-6.7400000000000042E-19</v>
      </c>
      <c r="AA37" s="78">
        <f>NN!L23-'JS YbReRunShifts'!L13</f>
        <v>2.3961037258800463E-19</v>
      </c>
      <c r="AB37" s="78">
        <f>NN!M23-'JS YbReRunShifts'!M13</f>
        <v>-7.7000000000000014E-19</v>
      </c>
      <c r="AC37" s="36"/>
      <c r="AD37" s="33"/>
    </row>
    <row r="38" spans="1:30" ht="18" customHeight="1">
      <c r="A38" s="37">
        <v>45737</v>
      </c>
      <c r="B38" s="78">
        <f>KK!B24-'JS YbReRunShifts'!B14</f>
        <v>-1.2930150079913747E-21</v>
      </c>
      <c r="C38" s="78">
        <f>KK!C24-'JS YbReRunShifts'!C14</f>
        <v>-3.0205455939841005E-19</v>
      </c>
      <c r="D38" s="78">
        <f>KK!D24-'JS YbReRunShifts'!D14</f>
        <v>3.9128449591400659E-19</v>
      </c>
      <c r="E38" s="78">
        <f>KK!E24-'JS YbReRunShifts'!E14</f>
        <v>-3.3446144683157998E-19</v>
      </c>
      <c r="F38" s="78">
        <f>KK!F24-'JS YbReRunShifts'!F14</f>
        <v>9.8817262092600831E-20</v>
      </c>
      <c r="G38" s="78">
        <f>KK!G24-'JS YbReRunShifts'!G14</f>
        <v>-1.3099592513391001E-18</v>
      </c>
      <c r="H38" s="78">
        <f>KK!H24-'JS YbReRunShifts'!H14</f>
        <v>8.9176752426380204E-20</v>
      </c>
      <c r="I38" s="78">
        <f>KK!I24-'JS YbReRunShifts'!I14</f>
        <v>-1.2680114806477701E-18</v>
      </c>
      <c r="J38" s="78">
        <f>KK!J24-'JS YbReRunShifts'!J14</f>
        <v>2.1459371535300098E-18</v>
      </c>
      <c r="K38" s="78">
        <f>KK!K24-'JS YbReRunShifts'!K14</f>
        <v>-5.4779775662969974E-19</v>
      </c>
      <c r="L38" s="78">
        <f>KK!L24-'JS YbReRunShifts'!L14</f>
        <v>2.5005676394410135E-18</v>
      </c>
      <c r="M38" s="78">
        <f>KK!M24-'JS YbReRunShifts'!M14</f>
        <v>-1.3832446757225996E-19</v>
      </c>
      <c r="N38" s="56" t="s">
        <v>24</v>
      </c>
      <c r="O38" s="57"/>
      <c r="P38" s="37">
        <v>45737</v>
      </c>
      <c r="Q38" s="78">
        <f>NN!B24-'JS YbReRunShifts'!B14</f>
        <v>2.8788432729000016E-20</v>
      </c>
      <c r="R38" s="78">
        <f>NN!C24-'JS YbReRunShifts'!C14</f>
        <v>-2.1999999999999998E-19</v>
      </c>
      <c r="S38" s="78">
        <f>NN!D24-'JS YbReRunShifts'!D14</f>
        <v>-1.4862329741699067E-19</v>
      </c>
      <c r="T38" s="78">
        <f>NN!E24-'JS YbReRunShifts'!E14</f>
        <v>-6.0000000000000066E-20</v>
      </c>
      <c r="U38" s="78">
        <f>NN!F24-'JS YbReRunShifts'!F14</f>
        <v>1.02672423355201E-19</v>
      </c>
      <c r="V38" s="78">
        <f>NN!G24-'JS YbReRunShifts'!G14</f>
        <v>-1.16E-18</v>
      </c>
      <c r="W38" s="78">
        <f>NN!H24-'JS YbReRunShifts'!H14</f>
        <v>2.3274152594450204E-20</v>
      </c>
      <c r="X38" s="78">
        <f>NN!I24-'JS YbReRunShifts'!I14</f>
        <v>-1.4700000000000007E-18</v>
      </c>
      <c r="Y38" s="78">
        <f>NN!J24-'JS YbReRunShifts'!J14</f>
        <v>1.4083587895299993E-18</v>
      </c>
      <c r="Z38" s="78">
        <f>NN!K24-'JS YbReRunShifts'!K14</f>
        <v>-1.5999999999999992E-19</v>
      </c>
      <c r="AA38" s="78">
        <f>NN!L24-'JS YbReRunShifts'!L14</f>
        <v>1.1338808346409906E-18</v>
      </c>
      <c r="AB38" s="78">
        <f>NN!M24-'JS YbReRunShifts'!M14</f>
        <v>-1.6999999999999987E-19</v>
      </c>
      <c r="AC38" s="56" t="s">
        <v>24</v>
      </c>
      <c r="AD38" s="58"/>
    </row>
    <row r="39" spans="1:30" ht="18" customHeight="1">
      <c r="A39" s="37" t="s">
        <v>28</v>
      </c>
      <c r="B39" s="40" t="e">
        <f>SUMPRODUCT(KK!B16:B24,1/KK!C16:C24^2)/SUM(1/KK!C16:C24^2)-SUMPRODUCT('JS YbReRunShifts'!B6:B14,1/'JS YbReRunShifts'!C6:C14^2)/SUM(1/'JS YbReRunShifts'!C6:C14^2)</f>
        <v>#VALUE!</v>
      </c>
      <c r="C39" s="36"/>
      <c r="D39" s="40" t="e">
        <f>SUMPRODUCT(KK!D16:D24,1/KK!E16:E24^2)/SUM(1/KK!E16:E24^2)-SUMPRODUCT('JS YbReRunShifts'!D6:D14,1/'JS YbReRunShifts'!E6:E14^2)/SUM(1/'JS YbReRunShifts'!E6:E14^2)</f>
        <v>#VALUE!</v>
      </c>
      <c r="E39" s="36"/>
      <c r="F39" s="40" t="e">
        <f>SUMPRODUCT(KK!F16:F24,1/KK!G16:G24^2)/SUM(1/KK!G16:G24^2)-SUMPRODUCT('JS YbReRunShifts'!F6:F14,1/'JS YbReRunShifts'!G6:G14^2)/SUM(1/'JS YbReRunShifts'!G6:G14^2)</f>
        <v>#VALUE!</v>
      </c>
      <c r="G39" s="36"/>
      <c r="H39" s="40" t="e">
        <f>SUMPRODUCT(KK!H16:H24,1/KK!I16:I24^2)/SUM(1/KK!I16:I24^2)-SUMPRODUCT('JS YbReRunShifts'!H6:H14,1/'JS YbReRunShifts'!I6:I14^2)/SUM(1/'JS YbReRunShifts'!I6:I14^2)</f>
        <v>#VALUE!</v>
      </c>
      <c r="I39" s="36"/>
      <c r="J39" s="40" t="e">
        <f>SUMPRODUCT(KK!J16:J24,1/KK!K16:K24^2)/SUM(1/KK!K16:K24^2)-SUMPRODUCT('JS YbReRunShifts'!J6:J14,1/'JS YbReRunShifts'!K6:K14^2)/SUM(1/'JS YbReRunShifts'!K6:K14^2)</f>
        <v>#VALUE!</v>
      </c>
      <c r="K39" s="36"/>
      <c r="L39" s="40" t="e">
        <f>SUMPRODUCT(KK!L16:L24,1/KK!M16:M24^2)/SUM(1/KK!M16:M24^2)-SUMPRODUCT('JS YbReRunShifts'!L6:L14,1/'JS YbReRunShifts'!M6:M14^2)/SUM(1/'JS YbReRunShifts'!M6:M14^2)</f>
        <v>#VALUE!</v>
      </c>
      <c r="M39" s="36"/>
      <c r="N39" s="35" t="e">
        <f>AVERAGE(ABS(B39),ABS(D39),ABS(F39),ABS(H39),ABS(J39),ABS(L39))</f>
        <v>#VALUE!</v>
      </c>
      <c r="O39" s="33"/>
      <c r="P39" s="37" t="s">
        <v>28</v>
      </c>
      <c r="Q39" s="40" t="e">
        <f>SUMPRODUCT(NN!B16:B24,1/NN!C16:C24^2)/SUM(1/NN!C16:C24^2)-SUMPRODUCT('JS YbReRunShifts'!B6:B14,1/'JS YbReRunShifts'!C6:C14^2)/SUM(1/'JS YbReRunShifts'!C6:C14^2)</f>
        <v>#VALUE!</v>
      </c>
      <c r="R39" s="36"/>
      <c r="S39" s="40" t="e">
        <f>SUMPRODUCT(NN!D16:D24,1/NN!E16:E24^2)/SUM(1/NN!E16:E24^2)-SUMPRODUCT('JS YbReRunShifts'!D6:D14,1/'JS YbReRunShifts'!E6:E14^2)/SUM(1/'JS YbReRunShifts'!E6:E14^2)</f>
        <v>#VALUE!</v>
      </c>
      <c r="T39" s="36"/>
      <c r="U39" s="40" t="e">
        <f>SUMPRODUCT(NN!F16:F24,1/NN!G16:G24^2)/SUM(1/NN!G16:G24^2)-SUMPRODUCT('JS YbReRunShifts'!F6:F14,1/'JS YbReRunShifts'!G6:G14^2)/SUM(1/'JS YbReRunShifts'!G6:G14^2)</f>
        <v>#VALUE!</v>
      </c>
      <c r="V39" s="36"/>
      <c r="W39" s="40" t="e">
        <f>SUMPRODUCT(NN!H16:H24,1/NN!I16:I24^2)/SUM(1/NN!I16:I24^2)-SUMPRODUCT('JS YbReRunShifts'!H6:H14,1/'JS YbReRunShifts'!I6:I14^2)/SUM(1/'JS YbReRunShifts'!I6:I14^2)</f>
        <v>#VALUE!</v>
      </c>
      <c r="X39" s="36"/>
      <c r="Y39" s="40" t="e">
        <f>SUMPRODUCT(NN!J16:J24,1/NN!K16:K24^2)/SUM(1/NN!K16:K24^2)-SUMPRODUCT('JS YbReRunShifts'!J6:J14,1/'JS YbReRunShifts'!K6:K14^2)/SUM(1/'JS YbReRunShifts'!K6:K14^2)</f>
        <v>#VALUE!</v>
      </c>
      <c r="Z39" s="36"/>
      <c r="AA39" s="40" t="e">
        <f>SUMPRODUCT(NN!L16:L24,1/NN!M16:M24^2)/SUM(1/NN!M16:M24^2)-SUMPRODUCT('JS YbReRunShifts'!L6:L14,1/'JS YbReRunShifts'!M6:M14^2)/SUM(1/'JS YbReRunShifts'!M6:M14^2)</f>
        <v>#VALUE!</v>
      </c>
      <c r="AB39" s="36"/>
      <c r="AC39" s="35" t="e">
        <f>AVERAGE(ABS(Q39),ABS(S39),ABS(U39),ABS(W39),ABS(Y39),ABS(AA39))</f>
        <v>#VALUE!</v>
      </c>
      <c r="AD39" s="35"/>
    </row>
  </sheetData>
  <mergeCells count="8">
    <mergeCell ref="N38:O38"/>
    <mergeCell ref="AC38:AD38"/>
    <mergeCell ref="N10:O10"/>
    <mergeCell ref="AC10:AD10"/>
    <mergeCell ref="N24:O24"/>
    <mergeCell ref="AC24:AD24"/>
    <mergeCell ref="N26:O26"/>
    <mergeCell ref="AC26:A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M29"/>
  <sheetViews>
    <sheetView tabSelected="1" workbookViewId="0">
      <selection activeCell="R20" sqref="R20"/>
    </sheetView>
  </sheetViews>
  <sheetFormatPr baseColWidth="10" defaultColWidth="8.83203125" defaultRowHeight="15"/>
  <cols>
    <col min="1" max="1" width="13" style="16" bestFit="1" customWidth="1"/>
    <col min="2" max="13" width="13" style="15" bestFit="1" customWidth="1"/>
  </cols>
  <sheetData>
    <row r="1" spans="1:13" ht="18" customHeight="1">
      <c r="A1" s="12" t="s">
        <v>13</v>
      </c>
      <c r="B1" s="13" t="s">
        <v>14</v>
      </c>
      <c r="C1" s="14"/>
      <c r="D1" s="14"/>
      <c r="E1" s="13" t="s">
        <v>15</v>
      </c>
      <c r="F1" s="14"/>
      <c r="G1" s="14"/>
      <c r="H1" s="13" t="s">
        <v>16</v>
      </c>
      <c r="I1" s="14"/>
      <c r="J1" s="14"/>
      <c r="K1" s="13" t="s">
        <v>17</v>
      </c>
    </row>
    <row r="2" spans="1:13" ht="18" customHeight="1">
      <c r="B2" s="17" t="s">
        <v>18</v>
      </c>
      <c r="C2" s="18" t="s">
        <v>19</v>
      </c>
      <c r="D2" s="18" t="s">
        <v>20</v>
      </c>
      <c r="E2" s="17" t="s">
        <v>18</v>
      </c>
      <c r="F2" s="18" t="s">
        <v>19</v>
      </c>
      <c r="G2" s="18" t="s">
        <v>20</v>
      </c>
      <c r="H2" s="17" t="s">
        <v>18</v>
      </c>
      <c r="I2" s="18" t="s">
        <v>19</v>
      </c>
      <c r="J2" s="18" t="s">
        <v>20</v>
      </c>
      <c r="K2" s="17" t="s">
        <v>18</v>
      </c>
      <c r="L2" s="18" t="s">
        <v>19</v>
      </c>
      <c r="M2" s="18" t="s">
        <v>20</v>
      </c>
    </row>
    <row r="3" spans="1:13" ht="18.75" customHeight="1">
      <c r="A3" s="19">
        <v>45673</v>
      </c>
      <c r="B3" s="20">
        <f>0.0000000000000017787-KK!B12</f>
        <v>1.8791965562627009E-15</v>
      </c>
      <c r="C3" s="21">
        <f>-0.0000000000000019113-KK!F12</f>
        <v>-1.8797799999999999E-15</v>
      </c>
      <c r="D3" s="21">
        <f>-1.3323E-16-KK!J12</f>
        <v>1.9700000000000103E-18</v>
      </c>
      <c r="E3" s="20">
        <f>0.0000000000000017787-NN!$B12</f>
        <v>1.8791299999999998E-15</v>
      </c>
      <c r="F3" s="21">
        <f>-0.0000000000000019113-NN!$F12</f>
        <v>-1.8769660000000001E-15</v>
      </c>
      <c r="G3" s="21">
        <f>-1.3323E-16-NN!$J12</f>
        <v>1.7500000000000038E-18</v>
      </c>
      <c r="H3" s="20">
        <f>0.0000000000000017787-'JS YbReRunShifts'!$B2</f>
        <v>1.8790490635781687E-15</v>
      </c>
      <c r="I3" s="21">
        <f>-0.0000000000000019113-'JS YbReRunShifts'!$F2</f>
        <v>-1.8768484463372072E-15</v>
      </c>
      <c r="J3" s="21">
        <f>-1.3323E-16-'JS YbReRunShifts'!$J2</f>
        <v>1.8616009296010148E-18</v>
      </c>
      <c r="K3" s="20"/>
      <c r="L3" s="21"/>
      <c r="M3" s="21"/>
    </row>
    <row r="4" spans="1:13" ht="18" customHeight="1">
      <c r="A4" s="22">
        <v>45681</v>
      </c>
      <c r="B4" s="23">
        <f>-KK!B13</f>
        <v>9.6939413874712806E-17</v>
      </c>
      <c r="C4" s="24">
        <f>-KK!F13</f>
        <v>8.6909999999999994E-18</v>
      </c>
      <c r="D4" s="24">
        <f>-KK!J13</f>
        <v>1.1390000000000001E-16</v>
      </c>
      <c r="E4" s="23">
        <f>-NN!$B13</f>
        <v>9.6948000000000005E-17</v>
      </c>
      <c r="F4" s="24">
        <f>-NN!$F13</f>
        <v>1.2884E-17</v>
      </c>
      <c r="G4" s="24">
        <f>-NN!$J13</f>
        <v>1.1402E-16</v>
      </c>
      <c r="H4" s="23">
        <f>-'JS YbReRunShifts'!$B3</f>
        <v>9.6596607449792296E-17</v>
      </c>
      <c r="I4" s="24">
        <f>-'JS YbReRunShifts'!$F3</f>
        <v>1.29028898030403E-17</v>
      </c>
      <c r="J4" s="24">
        <f>-'JS YbReRunShifts'!$J3</f>
        <v>1.1406293941948001E-16</v>
      </c>
      <c r="K4" s="25"/>
      <c r="L4" s="26"/>
      <c r="M4" s="26"/>
    </row>
    <row r="5" spans="1:13" ht="18" customHeight="1">
      <c r="A5" s="22">
        <v>45692</v>
      </c>
      <c r="B5" s="23">
        <f>-KK!B14</f>
        <v>1.04765900862837E-16</v>
      </c>
      <c r="C5" s="24">
        <f>-KK!F14</f>
        <v>1.6260000000000001E-17</v>
      </c>
      <c r="D5" s="24">
        <f>-KK!J14</f>
        <v>1.2650000000000001E-16</v>
      </c>
      <c r="E5" s="23">
        <f>-NN!$B14</f>
        <v>1.0455000000000001E-16</v>
      </c>
      <c r="F5" s="24">
        <f>-NN!$F14</f>
        <v>2.2251E-17</v>
      </c>
      <c r="G5" s="24">
        <f>-NN!$J14</f>
        <v>1.2569E-16</v>
      </c>
      <c r="H5" s="23">
        <f>-'JS YbReRunShifts'!$B4</f>
        <v>1.0453038875395199E-16</v>
      </c>
      <c r="I5" s="24">
        <f>-'JS YbReRunShifts'!$F4</f>
        <v>2.23477345190815E-17</v>
      </c>
      <c r="J5" s="24">
        <f>-'JS YbReRunShifts'!$J4</f>
        <v>1.2576081401119101E-16</v>
      </c>
      <c r="K5" s="25"/>
      <c r="L5" s="26"/>
      <c r="M5" s="26"/>
    </row>
    <row r="6" spans="1:13" ht="18" customHeight="1">
      <c r="A6" s="4">
        <v>45694</v>
      </c>
      <c r="B6" s="23">
        <f>-KK!B15</f>
        <v>1.03024085636416E-16</v>
      </c>
      <c r="C6" s="24">
        <f>-KK!F15</f>
        <v>1.7479999999999999E-17</v>
      </c>
      <c r="D6" s="24">
        <f>-KK!J15</f>
        <v>1.2800000000000001E-16</v>
      </c>
      <c r="E6" s="23">
        <f>-NN!$B15</f>
        <v>1.0297E-16</v>
      </c>
      <c r="F6" s="24">
        <f>-NN!$F15</f>
        <v>2.2105000000000001E-17</v>
      </c>
      <c r="G6" s="24">
        <f>-NN!$J15</f>
        <v>1.2805000000000001E-16</v>
      </c>
      <c r="H6" s="23">
        <f>-'JS YbReRunShifts'!$B5</f>
        <v>1.0293957880940999E-16</v>
      </c>
      <c r="I6" s="24">
        <f>-'JS YbReRunShifts'!$F5</f>
        <v>2.22160838432254E-17</v>
      </c>
      <c r="J6" s="24">
        <f>-'JS YbReRunShifts'!$J5</f>
        <v>1.2810470506039701E-16</v>
      </c>
      <c r="K6" s="25"/>
      <c r="L6" s="26"/>
      <c r="M6" s="26"/>
    </row>
    <row r="7" spans="1:13" ht="18" customHeight="1">
      <c r="A7" s="22">
        <v>45715</v>
      </c>
      <c r="B7" s="23">
        <f>-KK!B16</f>
        <v>1.07138934034172E-16</v>
      </c>
      <c r="C7" s="24">
        <f>-KK!F16</f>
        <v>1.6184407052069799E-17</v>
      </c>
      <c r="D7" s="24">
        <f>-KK!J16</f>
        <v>1.2304992213771801E-16</v>
      </c>
      <c r="E7" s="23">
        <f>-NN!$B16</f>
        <v>1.0692999999999999E-16</v>
      </c>
      <c r="F7" s="24">
        <f>-NN!$F16</f>
        <v>1.6066999999999999E-17</v>
      </c>
      <c r="G7" s="24">
        <f>-NN!$J16</f>
        <v>1.2271E-16</v>
      </c>
      <c r="H7" s="23">
        <f>-'JS YbReRunShifts'!$B6</f>
        <v>1.06890032949776E-16</v>
      </c>
      <c r="I7" s="24">
        <f>-'JS YbReRunShifts'!$F6</f>
        <v>1.6175446306844098E-17</v>
      </c>
      <c r="J7" s="24">
        <f>-'JS YbReRunShifts'!$J6</f>
        <v>1.2278058252890299E-16</v>
      </c>
      <c r="K7" s="27">
        <f>-MCM!$B16</f>
        <v>1.0755E-16</v>
      </c>
      <c r="L7" s="28">
        <f>-MCM!$F16</f>
        <v>1.669E-17</v>
      </c>
      <c r="M7" s="28">
        <f>-MCM!$J16</f>
        <v>1.2310999999999999E-16</v>
      </c>
    </row>
    <row r="8" spans="1:13" ht="18" customHeight="1">
      <c r="A8" s="4">
        <v>45716</v>
      </c>
      <c r="B8" s="23">
        <f>-KK!B17</f>
        <v>1.02571831636958E-16</v>
      </c>
      <c r="C8" s="24">
        <f>-KK!F17</f>
        <v>1.0455232880916301E-17</v>
      </c>
      <c r="D8" s="24">
        <f>-KK!J17</f>
        <v>1.13922166990955E-16</v>
      </c>
      <c r="E8" s="23">
        <f>-NN!$B17</f>
        <v>1.0246E-16</v>
      </c>
      <c r="F8" s="24">
        <f>-NN!$F17</f>
        <v>1.0398E-17</v>
      </c>
      <c r="G8" s="24">
        <f>-NN!$J17</f>
        <v>1.1385999999999999E-16</v>
      </c>
      <c r="H8" s="23">
        <f>-'JS YbReRunShifts'!$B7</f>
        <v>1.02434505892614E-16</v>
      </c>
      <c r="I8" s="24">
        <f>-'JS YbReRunShifts'!$F7</f>
        <v>1.0511552098680801E-17</v>
      </c>
      <c r="J8" s="24">
        <f>-'JS YbReRunShifts'!$J7</f>
        <v>1.1378994930093999E-16</v>
      </c>
      <c r="K8" s="27">
        <f>-MCM!$B17</f>
        <v>1.03E-16</v>
      </c>
      <c r="L8" s="28">
        <f>-MCM!$F17</f>
        <v>1.1030999999999999E-17</v>
      </c>
      <c r="M8" s="28">
        <f>-MCM!$J17</f>
        <v>1.1457000000000001E-16</v>
      </c>
    </row>
    <row r="9" spans="1:13" ht="18" customHeight="1">
      <c r="A9" s="22">
        <v>45720</v>
      </c>
      <c r="B9" s="23">
        <f>-KK!B18</f>
        <v>1.03659799494386E-16</v>
      </c>
      <c r="C9" s="24">
        <f>-KK!F18</f>
        <v>1.51427503723784E-17</v>
      </c>
      <c r="D9" s="24">
        <f>-KK!J18</f>
        <v>1.1891698580632699E-16</v>
      </c>
      <c r="E9" s="23">
        <f>-NN!$B18</f>
        <v>1.036E-16</v>
      </c>
      <c r="F9" s="24">
        <f>-NN!$F18</f>
        <v>1.5169999999999999E-17</v>
      </c>
      <c r="G9" s="24">
        <f>-NN!$J18</f>
        <v>1.1888E-16</v>
      </c>
      <c r="H9" s="23">
        <f>-'JS YbReRunShifts'!$B8</f>
        <v>1.03584109304423E-16</v>
      </c>
      <c r="I9" s="24">
        <f>-'JS YbReRunShifts'!$F8</f>
        <v>1.52785743147524E-17</v>
      </c>
      <c r="J9" s="24">
        <f>-'JS YbReRunShifts'!$J8</f>
        <v>1.18971359778052E-16</v>
      </c>
      <c r="K9" s="27">
        <f>-MCM!$B18</f>
        <v>1.0429E-16</v>
      </c>
      <c r="L9" s="28">
        <f>-MCM!$F18</f>
        <v>1.5567999999999999E-17</v>
      </c>
      <c r="M9" s="28">
        <f>-MCM!$J18</f>
        <v>1.1944E-16</v>
      </c>
    </row>
    <row r="10" spans="1:13" ht="18" customHeight="1">
      <c r="A10" s="4">
        <v>45722</v>
      </c>
      <c r="B10" s="23">
        <f>-KK!B19</f>
        <v>1.04318415806149E-16</v>
      </c>
      <c r="C10" s="24">
        <f>-KK!F19</f>
        <v>1.5396099046153E-17</v>
      </c>
      <c r="D10" s="24">
        <f>-KK!J19</f>
        <v>1.20708599969957E-16</v>
      </c>
      <c r="E10" s="23">
        <f>-NN!$B19</f>
        <v>1.043E-16</v>
      </c>
      <c r="F10" s="24">
        <f>-NN!$F19</f>
        <v>1.4372E-17</v>
      </c>
      <c r="G10" s="24">
        <f>-NN!$J19</f>
        <v>1.2171000000000001E-16</v>
      </c>
      <c r="H10" s="23">
        <f>-'JS YbReRunShifts'!$B9</f>
        <v>1.04268462490973E-16</v>
      </c>
      <c r="I10" s="24">
        <f>-'JS YbReRunShifts'!$F9</f>
        <v>1.53840741733058E-17</v>
      </c>
      <c r="J10" s="24">
        <f>-'JS YbReRunShifts'!$J9</f>
        <v>1.21797965733725E-16</v>
      </c>
      <c r="K10" s="27">
        <f>-MCM!$B19</f>
        <v>1.0507E-16</v>
      </c>
      <c r="L10" s="28">
        <f>-MCM!$F19</f>
        <v>1.5694E-17</v>
      </c>
      <c r="M10" s="28">
        <f>-MCM!$J19</f>
        <v>1.2245E-16</v>
      </c>
    </row>
    <row r="11" spans="1:13" ht="18" customHeight="1">
      <c r="A11" s="22">
        <v>45723</v>
      </c>
      <c r="B11" s="23">
        <f>-KK!B20</f>
        <v>1.02638404602943E-16</v>
      </c>
      <c r="C11" s="24">
        <f>-KK!F20</f>
        <v>2.4808254583529701E-17</v>
      </c>
      <c r="D11" s="24">
        <f>-KK!J20</f>
        <v>1.26481889255345E-16</v>
      </c>
      <c r="E11" s="23">
        <f>-NN!$B20</f>
        <v>1.0253E-16</v>
      </c>
      <c r="F11" s="24">
        <f>-NN!$F20</f>
        <v>2.4903000000000001E-17</v>
      </c>
      <c r="G11" s="24">
        <f>-NN!$J20</f>
        <v>1.2558000000000001E-16</v>
      </c>
      <c r="H11" s="23">
        <f>-'JS YbReRunShifts'!$B10</f>
        <v>1.02486722734445E-16</v>
      </c>
      <c r="I11" s="24">
        <f>-'JS YbReRunShifts'!$F10</f>
        <v>2.5012425606139099E-17</v>
      </c>
      <c r="J11" s="24">
        <f>-'JS YbReRunShifts'!$J10</f>
        <v>1.25703308310817E-16</v>
      </c>
      <c r="K11" s="27">
        <f>-MCM!$B20</f>
        <v>1.0317999999999999E-16</v>
      </c>
      <c r="L11" s="28">
        <f>-MCM!$F20</f>
        <v>2.5419999999999999E-17</v>
      </c>
      <c r="M11" s="28">
        <f>-MCM!$J20</f>
        <v>1.2619000000000001E-16</v>
      </c>
    </row>
    <row r="12" spans="1:13" ht="18" customHeight="1">
      <c r="A12" s="4">
        <v>45729</v>
      </c>
      <c r="B12" s="23">
        <f>-KK!B21</f>
        <v>1.06360568663107E-16</v>
      </c>
      <c r="C12" s="24">
        <f>-KK!F21</f>
        <v>1.45987004626524E-17</v>
      </c>
      <c r="D12" s="24">
        <f>-KK!J21</f>
        <v>1.2040125777556301E-16</v>
      </c>
      <c r="E12" s="23">
        <f>-NN!$B21</f>
        <v>1.0634000000000001E-16</v>
      </c>
      <c r="F12" s="24">
        <f>-NN!$F21</f>
        <v>1.4676000000000001E-17</v>
      </c>
      <c r="G12" s="24">
        <f>-NN!$J21</f>
        <v>1.2190999999999999E-16</v>
      </c>
      <c r="H12" s="23">
        <f>-'JS YbReRunShifts'!$B11</f>
        <v>1.05903727311478E-16</v>
      </c>
      <c r="I12" s="24">
        <f>-'JS YbReRunShifts'!$F11</f>
        <v>1.4758676718038801E-17</v>
      </c>
      <c r="J12" s="24">
        <f>-'JS YbReRunShifts'!$J11</f>
        <v>1.19536742816874E-16</v>
      </c>
      <c r="K12" s="27">
        <f>-MCM!$B21</f>
        <v>1.06608E-16</v>
      </c>
      <c r="L12" s="28">
        <f>-MCM!$F21</f>
        <v>1.4986999999999999E-17</v>
      </c>
      <c r="M12" s="28">
        <f>-MCM!$J21</f>
        <v>1.2026000000000001E-16</v>
      </c>
    </row>
    <row r="13" spans="1:13" ht="18.75" customHeight="1">
      <c r="A13" s="22">
        <v>45734</v>
      </c>
      <c r="B13" s="23">
        <f>-KK!B22</f>
        <v>1.04523211980555E-16</v>
      </c>
      <c r="C13" s="24">
        <f>-KK!F22</f>
        <v>1.5312419064720401E-17</v>
      </c>
      <c r="D13" s="24">
        <f>-KK!J22</f>
        <v>1.1811882515146499E-16</v>
      </c>
      <c r="E13" s="23">
        <f>-NN!$B22</f>
        <v>1.0423999999999999E-16</v>
      </c>
      <c r="F13" s="24">
        <f>-NN!$F22</f>
        <v>1.5370999999999999E-17</v>
      </c>
      <c r="G13" s="24">
        <f>-NN!$J22</f>
        <v>1.1810000000000001E-16</v>
      </c>
      <c r="H13" s="23">
        <f>-'JS YbReRunShifts'!$B12</f>
        <v>1.04270392460781E-16</v>
      </c>
      <c r="I13" s="24">
        <f>-'JS YbReRunShifts'!$F12</f>
        <v>1.5307903972718999E-17</v>
      </c>
      <c r="J13" s="24">
        <f>-'JS YbReRunShifts'!$J12</f>
        <v>1.1816221371104299E-16</v>
      </c>
      <c r="K13" s="27">
        <f>-MCM!$B22</f>
        <v>1.0467999999999999E-16</v>
      </c>
      <c r="L13" s="28">
        <f>-MCM!$F22</f>
        <v>1.5762E-17</v>
      </c>
      <c r="M13" s="28">
        <f>-MCM!$J22</f>
        <v>1.1811000000000001E-16</v>
      </c>
    </row>
    <row r="14" spans="1:13" ht="18" customHeight="1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ht="18" customHeight="1"/>
    <row r="16" spans="1:13" ht="18" customHeight="1"/>
    <row r="17" spans="1:13" ht="18" customHeight="1">
      <c r="A17" s="12" t="s">
        <v>21</v>
      </c>
    </row>
    <row r="18" spans="1:13" ht="18" customHeight="1">
      <c r="B18" s="17" t="s">
        <v>18</v>
      </c>
      <c r="C18" s="18" t="s">
        <v>19</v>
      </c>
      <c r="D18" s="18" t="s">
        <v>20</v>
      </c>
      <c r="E18" s="17" t="s">
        <v>18</v>
      </c>
      <c r="F18" s="18" t="s">
        <v>19</v>
      </c>
      <c r="G18" s="18" t="s">
        <v>20</v>
      </c>
      <c r="H18" s="17" t="s">
        <v>18</v>
      </c>
      <c r="I18" s="18" t="s">
        <v>19</v>
      </c>
      <c r="J18" s="18" t="s">
        <v>20</v>
      </c>
      <c r="K18" s="17" t="s">
        <v>18</v>
      </c>
      <c r="L18" s="18" t="s">
        <v>19</v>
      </c>
      <c r="M18" s="18" t="s">
        <v>20</v>
      </c>
    </row>
    <row r="19" spans="1:13" ht="18.75" customHeight="1">
      <c r="A19" s="19">
        <v>45673</v>
      </c>
      <c r="B19" s="60">
        <f>0.0000000000000017787-KK!B12</f>
        <v>1.8791965562627009E-15</v>
      </c>
      <c r="C19" s="61">
        <f>-0.0000000000000019113-KK!F12</f>
        <v>-1.8797799999999999E-15</v>
      </c>
      <c r="D19" s="61">
        <f>-1.3323E-16-KK!J12</f>
        <v>1.9700000000000103E-18</v>
      </c>
      <c r="E19" s="60">
        <f>0.0000000000000017787-NN!$B12</f>
        <v>1.8791299999999998E-15</v>
      </c>
      <c r="F19" s="61">
        <f>-0.0000000000000019113-NN!$F12</f>
        <v>-1.8769660000000001E-15</v>
      </c>
      <c r="G19" s="61">
        <f>-1.3323E-16-NN!$J12</f>
        <v>1.7500000000000038E-18</v>
      </c>
      <c r="H19" s="60">
        <f>0.0000000000000017787-'JS YbReRunShifts'!$B2</f>
        <v>1.8790490635781687E-15</v>
      </c>
      <c r="I19" s="61">
        <f>-0.0000000000000019113-'JS YbReRunShifts'!$F2</f>
        <v>-1.8768484463372072E-15</v>
      </c>
      <c r="J19" s="61">
        <f>-1.3323E-16-'JS YbReRunShifts'!$J2</f>
        <v>1.8616009296010148E-18</v>
      </c>
      <c r="K19" s="60"/>
      <c r="L19" s="61"/>
      <c r="M19" s="61"/>
    </row>
    <row r="20" spans="1:13" ht="18" customHeight="1">
      <c r="A20" s="22">
        <v>45681</v>
      </c>
      <c r="B20" s="62">
        <f>-KK!B13</f>
        <v>9.6939413874712806E-17</v>
      </c>
      <c r="C20" s="63">
        <f>-KK!F13</f>
        <v>8.6909999999999994E-18</v>
      </c>
      <c r="D20" s="63">
        <f>-KK!J13</f>
        <v>1.1390000000000001E-16</v>
      </c>
      <c r="E20" s="62">
        <f>-NN!$B13</f>
        <v>9.6948000000000005E-17</v>
      </c>
      <c r="F20" s="63">
        <f>-NN!$F13</f>
        <v>1.2884E-17</v>
      </c>
      <c r="G20" s="63">
        <f>-NN!$J13</f>
        <v>1.1402E-16</v>
      </c>
      <c r="H20" s="62">
        <f>-'JS YbReRunShifts'!$B3</f>
        <v>9.6596607449792296E-17</v>
      </c>
      <c r="I20" s="63">
        <f>-'JS YbReRunShifts'!$F3</f>
        <v>1.29028898030403E-17</v>
      </c>
      <c r="J20" s="63">
        <f>-'JS YbReRunShifts'!$J3</f>
        <v>1.1406293941948001E-16</v>
      </c>
      <c r="K20" s="64"/>
      <c r="L20" s="65"/>
      <c r="M20" s="65"/>
    </row>
    <row r="21" spans="1:13" ht="18" customHeight="1">
      <c r="A21" s="22">
        <v>45692</v>
      </c>
      <c r="B21" s="62">
        <f>-KK!B14</f>
        <v>1.04765900862837E-16</v>
      </c>
      <c r="C21" s="63">
        <f>-KK!F14</f>
        <v>1.6260000000000001E-17</v>
      </c>
      <c r="D21" s="63">
        <f>-KK!J14</f>
        <v>1.2650000000000001E-16</v>
      </c>
      <c r="E21" s="62">
        <f>-NN!$B14</f>
        <v>1.0455000000000001E-16</v>
      </c>
      <c r="F21" s="63">
        <f>-NN!$F14</f>
        <v>2.2251E-17</v>
      </c>
      <c r="G21" s="63">
        <f>-NN!$J14</f>
        <v>1.2569E-16</v>
      </c>
      <c r="H21" s="62">
        <f>-'JS YbReRunShifts'!$B4</f>
        <v>1.0453038875395199E-16</v>
      </c>
      <c r="I21" s="63">
        <f>-'JS YbReRunShifts'!$F4</f>
        <v>2.23477345190815E-17</v>
      </c>
      <c r="J21" s="63">
        <f>-'JS YbReRunShifts'!$J4</f>
        <v>1.2576081401119101E-16</v>
      </c>
      <c r="K21" s="64"/>
      <c r="L21" s="65"/>
      <c r="M21" s="65"/>
    </row>
    <row r="22" spans="1:13" ht="18" customHeight="1">
      <c r="A22" s="4">
        <v>45694</v>
      </c>
      <c r="B22" s="62">
        <f>-KK!B15</f>
        <v>1.03024085636416E-16</v>
      </c>
      <c r="C22" s="63">
        <f>-KK!F15</f>
        <v>1.7479999999999999E-17</v>
      </c>
      <c r="D22" s="63">
        <f>-KK!J15</f>
        <v>1.2800000000000001E-16</v>
      </c>
      <c r="E22" s="62">
        <f>-NN!$B15</f>
        <v>1.0297E-16</v>
      </c>
      <c r="F22" s="63">
        <f>-NN!$F15</f>
        <v>2.2105000000000001E-17</v>
      </c>
      <c r="G22" s="63">
        <f>-NN!$J15</f>
        <v>1.2805000000000001E-16</v>
      </c>
      <c r="H22" s="62">
        <f>-'JS YbReRunShifts'!$B5</f>
        <v>1.0293957880940999E-16</v>
      </c>
      <c r="I22" s="63">
        <f>-'JS YbReRunShifts'!$F5</f>
        <v>2.22160838432254E-17</v>
      </c>
      <c r="J22" s="63">
        <f>-'JS YbReRunShifts'!$J5</f>
        <v>1.2810470506039701E-16</v>
      </c>
      <c r="K22" s="64"/>
      <c r="L22" s="65"/>
      <c r="M22" s="65"/>
    </row>
    <row r="23" spans="1:13" ht="18" customHeight="1">
      <c r="A23" s="79">
        <v>45715</v>
      </c>
      <c r="B23" s="80">
        <f>0.0000000000000017697-KK!B16</f>
        <v>1.8768389340341721E-15</v>
      </c>
      <c r="C23" s="81">
        <f>-0.0000000000000018932-KK!F16</f>
        <v>-1.8770155929479301E-15</v>
      </c>
      <c r="D23" s="81">
        <f>-1.2359E-16-KK!J16</f>
        <v>-5.4007786228199502E-19</v>
      </c>
      <c r="E23" s="80">
        <f>0.0000000000000017697-NN!$B16</f>
        <v>1.8766299999999999E-15</v>
      </c>
      <c r="F23" s="81">
        <f>-0.0000000000000018932-NN!$F16</f>
        <v>-1.877133E-15</v>
      </c>
      <c r="G23" s="81">
        <f>-1.2359E-16-NN!$J16</f>
        <v>-8.8000000000000148E-19</v>
      </c>
      <c r="H23" s="80">
        <f>0.0000000000000017697-'JS YbReRunShifts'!$B6</f>
        <v>1.8765900329497761E-15</v>
      </c>
      <c r="I23" s="81">
        <f>-0.0000000000000018932-'JS YbReRunShifts'!$F6</f>
        <v>-1.8770245536931559E-15</v>
      </c>
      <c r="J23" s="81">
        <f>-1.2359E-16-'JS YbReRunShifts'!$J6</f>
        <v>-8.0941747109701276E-19</v>
      </c>
      <c r="K23" s="82">
        <f>0.0000000000000017697-MCM!$B16</f>
        <v>1.8772499999999999E-15</v>
      </c>
      <c r="L23" s="83">
        <f>-0.0000000000000018932-MCM!$F16</f>
        <v>-1.8765100000000002E-15</v>
      </c>
      <c r="M23" s="83">
        <f>-MCM!$J16</f>
        <v>1.2310999999999999E-16</v>
      </c>
    </row>
    <row r="24" spans="1:13" ht="18" customHeight="1">
      <c r="A24" s="4">
        <v>45716</v>
      </c>
      <c r="B24" s="62">
        <f>-KK!B17</f>
        <v>1.02571831636958E-16</v>
      </c>
      <c r="C24" s="63">
        <f>-KK!F17</f>
        <v>1.0455232880916301E-17</v>
      </c>
      <c r="D24" s="63">
        <f>-KK!J17</f>
        <v>1.13922166990955E-16</v>
      </c>
      <c r="E24" s="62">
        <f>-NN!$B17</f>
        <v>1.0246E-16</v>
      </c>
      <c r="F24" s="63">
        <f>-NN!$F17</f>
        <v>1.0398E-17</v>
      </c>
      <c r="G24" s="63">
        <f>-NN!$J17</f>
        <v>1.1385999999999999E-16</v>
      </c>
      <c r="H24" s="62">
        <f>-'JS YbReRunShifts'!$B7</f>
        <v>1.02434505892614E-16</v>
      </c>
      <c r="I24" s="63">
        <f>-'JS YbReRunShifts'!$F7</f>
        <v>1.0511552098680801E-17</v>
      </c>
      <c r="J24" s="63">
        <f>-'JS YbReRunShifts'!$J7</f>
        <v>1.1378994930093999E-16</v>
      </c>
      <c r="K24" s="66">
        <f>-MCM!$B17</f>
        <v>1.03E-16</v>
      </c>
      <c r="L24" s="67">
        <f>-MCM!$F17</f>
        <v>1.1030999999999999E-17</v>
      </c>
      <c r="M24" s="67">
        <f>-MCM!$J17</f>
        <v>1.1457000000000001E-16</v>
      </c>
    </row>
    <row r="25" spans="1:13" ht="18" customHeight="1">
      <c r="A25" s="79">
        <v>45720</v>
      </c>
      <c r="B25" s="80">
        <f>0.0000000000000017728-KK!B18</f>
        <v>1.8764597994943861E-15</v>
      </c>
      <c r="C25" s="81">
        <f>-0.0000000000000018923-KK!F18</f>
        <v>-1.8771572496276218E-15</v>
      </c>
      <c r="D25" s="81">
        <f>-1.1975E-16-KK!J18</f>
        <v>-8.3301419367300455E-19</v>
      </c>
      <c r="E25" s="80">
        <f>0.0000000000000017728-NN!$B18</f>
        <v>1.8763999999999999E-15</v>
      </c>
      <c r="F25" s="81">
        <f>-0.0000000000000018923-NN!$F18</f>
        <v>-1.8771300000000002E-15</v>
      </c>
      <c r="G25" s="81">
        <f>-1.1975E-16-NN!$J18</f>
        <v>-8.700000000000023E-19</v>
      </c>
      <c r="H25" s="80">
        <f>0.0000000000000017728-'JS YbReRunShifts'!$B8</f>
        <v>1.8763841093044231E-15</v>
      </c>
      <c r="I25" s="81">
        <f>-0.0000000000000018923-'JS YbReRunShifts'!$F8</f>
        <v>-1.8770214256852476E-15</v>
      </c>
      <c r="J25" s="81">
        <f>-1.1975E-16-'JS YbReRunShifts'!$J8</f>
        <v>-7.7864022194799589E-19</v>
      </c>
      <c r="K25" s="82">
        <f>0.0000000000000017728-MCM!$B18</f>
        <v>1.8770899999999999E-15</v>
      </c>
      <c r="L25" s="83">
        <f>-0.0000000000000018923-MCM!$F18</f>
        <v>-1.8767320000000001E-15</v>
      </c>
      <c r="M25" s="83">
        <f>-1.1975E-16-MCM!$J18</f>
        <v>-3.0999999999999912E-19</v>
      </c>
    </row>
    <row r="26" spans="1:13" ht="18" customHeight="1">
      <c r="A26" s="4">
        <v>45722</v>
      </c>
      <c r="B26" s="62">
        <f>-KK!B19</f>
        <v>1.04318415806149E-16</v>
      </c>
      <c r="C26" s="63">
        <f>-KK!F19</f>
        <v>1.5396099046153E-17</v>
      </c>
      <c r="D26" s="63">
        <f>-KK!J19</f>
        <v>1.20708599969957E-16</v>
      </c>
      <c r="E26" s="62">
        <f>-NN!$B19</f>
        <v>1.043E-16</v>
      </c>
      <c r="F26" s="63">
        <f>-NN!$F19</f>
        <v>1.4372E-17</v>
      </c>
      <c r="G26" s="63">
        <f>-NN!$J19</f>
        <v>1.2171000000000001E-16</v>
      </c>
      <c r="H26" s="62">
        <f>-'JS YbReRunShifts'!$B9</f>
        <v>1.04268462490973E-16</v>
      </c>
      <c r="I26" s="63">
        <f>-'JS YbReRunShifts'!$F9</f>
        <v>1.53840741733058E-17</v>
      </c>
      <c r="J26" s="63">
        <f>-'JS YbReRunShifts'!$J9</f>
        <v>1.21797965733725E-16</v>
      </c>
      <c r="K26" s="66">
        <f>-MCM!$B19</f>
        <v>1.0507E-16</v>
      </c>
      <c r="L26" s="67">
        <f>-MCM!$F19</f>
        <v>1.5694E-17</v>
      </c>
      <c r="M26" s="67">
        <f>-MCM!$J19</f>
        <v>1.2245E-16</v>
      </c>
    </row>
    <row r="27" spans="1:13" ht="18" customHeight="1">
      <c r="A27" s="79">
        <v>45723</v>
      </c>
      <c r="B27" s="80">
        <f>0.0000000000000017735-KK!B20</f>
        <v>1.8761384046029431E-15</v>
      </c>
      <c r="C27" s="81">
        <f>-0.0000000000000019017-KK!F20</f>
        <v>-1.8768917454164705E-15</v>
      </c>
      <c r="D27" s="81">
        <f>-1.2592E-16-KK!J20</f>
        <v>5.6188925534499439E-19</v>
      </c>
      <c r="E27" s="80">
        <f>0.0000000000000017735-NN!$B20</f>
        <v>1.8760299999999998E-15</v>
      </c>
      <c r="F27" s="81">
        <f>-0.0000000000000019017-NN!$F20</f>
        <v>-1.8767970000000002E-15</v>
      </c>
      <c r="G27" s="81">
        <f>-1.2592E-16-NN!$J20</f>
        <v>-3.3999999999999665E-19</v>
      </c>
      <c r="H27" s="80">
        <f>0.0000000000000017735-'JS YbReRunShifts'!$B10</f>
        <v>1.8759867227344449E-15</v>
      </c>
      <c r="I27" s="81">
        <f>-0.0000000000000019017-'JS YbReRunShifts'!$F10</f>
        <v>-1.8766875743938611E-15</v>
      </c>
      <c r="J27" s="81">
        <f>-1.2592E-16-'JS YbReRunShifts'!$J10</f>
        <v>-2.1669168918301075E-19</v>
      </c>
      <c r="K27" s="82">
        <f>0.0000000000000017735-MCM!$B20</f>
        <v>1.87668E-15</v>
      </c>
      <c r="L27" s="83">
        <f>-0.0000000000000019017-MCM!$F20</f>
        <v>-1.8762800000000002E-15</v>
      </c>
      <c r="M27" s="83">
        <f>-1.2592E-16-MCM!$J20</f>
        <v>2.7000000000000242E-19</v>
      </c>
    </row>
    <row r="28" spans="1:13" ht="18" customHeight="1">
      <c r="A28" s="4">
        <v>45729</v>
      </c>
      <c r="B28" s="62">
        <f>-KK!B21</f>
        <v>1.06360568663107E-16</v>
      </c>
      <c r="C28" s="63">
        <f>-KK!F21</f>
        <v>1.45987004626524E-17</v>
      </c>
      <c r="D28" s="63">
        <f>-KK!J21</f>
        <v>1.2040125777556301E-16</v>
      </c>
      <c r="E28" s="62">
        <f>-NN!$B21</f>
        <v>1.0634000000000001E-16</v>
      </c>
      <c r="F28" s="63">
        <f>-NN!$F21</f>
        <v>1.4676000000000001E-17</v>
      </c>
      <c r="G28" s="63">
        <f>-NN!$J21</f>
        <v>1.2190999999999999E-16</v>
      </c>
      <c r="H28" s="62">
        <f>-'JS YbReRunShifts'!$B11</f>
        <v>1.05903727311478E-16</v>
      </c>
      <c r="I28" s="63">
        <f>-'JS YbReRunShifts'!$F11</f>
        <v>1.4758676718038801E-17</v>
      </c>
      <c r="J28" s="63">
        <f>-'JS YbReRunShifts'!$J11</f>
        <v>1.19536742816874E-16</v>
      </c>
      <c r="K28" s="66">
        <f>-MCM!$B21</f>
        <v>1.06608E-16</v>
      </c>
      <c r="L28" s="67">
        <f>-MCM!$F21</f>
        <v>1.4986999999999999E-17</v>
      </c>
      <c r="M28" s="67">
        <f>-MCM!$J21</f>
        <v>1.2026000000000001E-16</v>
      </c>
    </row>
    <row r="29" spans="1:13" ht="18.75" customHeight="1">
      <c r="A29" s="79">
        <v>45734</v>
      </c>
      <c r="B29" s="80">
        <f>0.0000000000000017685-KK!B22</f>
        <v>1.8730232119805552E-15</v>
      </c>
      <c r="C29" s="81">
        <f>-0.0000000000000018909-KK!F22</f>
        <v>-1.8755875809352796E-15</v>
      </c>
      <c r="D29" s="81">
        <f>-1.1812E-16-KK!J22</f>
        <v>-1.1748485350187307E-21</v>
      </c>
      <c r="E29" s="80">
        <f>0.0000000000000017685-NN!$B22</f>
        <v>1.8727400000000001E-15</v>
      </c>
      <c r="F29" s="81">
        <f>-0.0000000000000018909-NN!$F22</f>
        <v>-1.8755290000000001E-15</v>
      </c>
      <c r="G29" s="81">
        <f>-1.1812E-16-NN!$J22</f>
        <v>-1.9999999999998353E-20</v>
      </c>
      <c r="H29" s="80">
        <f>0.0000000000000017685-'JS YbReRunShifts'!$B12</f>
        <v>1.8727703924607812E-15</v>
      </c>
      <c r="I29" s="81">
        <f>-0.0000000000000018909-'JS YbReRunShifts'!$F12</f>
        <v>-1.8755920960272809E-15</v>
      </c>
      <c r="J29" s="81">
        <f>-1.1812E-16-'JS YbReRunShifts'!$J12</f>
        <v>4.2213711042984234E-20</v>
      </c>
      <c r="K29" s="82">
        <f>0.0000000000000017685-MCM!$B22</f>
        <v>1.8731800000000002E-15</v>
      </c>
      <c r="L29" s="83">
        <f>-0.0000000000000018909-MCM!$F22</f>
        <v>-1.8751379999999999E-15</v>
      </c>
      <c r="M29" s="83">
        <f>-1.1812E-16-MCM!$J22</f>
        <v>-9.9999999999991764E-21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M1000"/>
  <sheetViews>
    <sheetView workbookViewId="0"/>
  </sheetViews>
  <sheetFormatPr baseColWidth="10" defaultColWidth="8.83203125" defaultRowHeight="15"/>
  <cols>
    <col min="1" max="1" width="13" style="10" bestFit="1" customWidth="1"/>
    <col min="2" max="2" width="33" style="11" bestFit="1" customWidth="1"/>
    <col min="3" max="3" width="13" style="7" bestFit="1" customWidth="1"/>
    <col min="4" max="4" width="13" style="11" bestFit="1" customWidth="1"/>
    <col min="5" max="5" width="13" style="7" bestFit="1" customWidth="1"/>
    <col min="6" max="6" width="20.5" style="11" bestFit="1" customWidth="1"/>
    <col min="7" max="7" width="13" style="7" bestFit="1" customWidth="1"/>
    <col min="8" max="8" width="13" style="11" bestFit="1" customWidth="1"/>
    <col min="9" max="9" width="13" style="7" bestFit="1" customWidth="1"/>
    <col min="10" max="10" width="13" style="11" bestFit="1" customWidth="1"/>
    <col min="11" max="11" width="13" style="7" bestFit="1" customWidth="1"/>
    <col min="12" max="12" width="13" style="11" bestFit="1" customWidth="1"/>
    <col min="13" max="13" width="13" style="7" bestFit="1" customWidth="1"/>
  </cols>
  <sheetData>
    <row r="1" spans="1:13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</row>
    <row r="2" spans="1:13" ht="15.75" customHeight="1">
      <c r="A2" s="4">
        <v>45406</v>
      </c>
      <c r="B2" s="5">
        <v>-1.0895230000000001E-16</v>
      </c>
      <c r="C2" s="6">
        <v>7.2350000000000004E-18</v>
      </c>
      <c r="D2" s="5"/>
      <c r="F2" s="5">
        <v>3.0194099999999999E-17</v>
      </c>
      <c r="G2" s="6">
        <v>5.2800000000000003E-17</v>
      </c>
      <c r="H2" s="5"/>
      <c r="J2" s="8">
        <v>-6.4725100000000001E-17</v>
      </c>
      <c r="K2" s="6">
        <v>4.3000000000000002E-17</v>
      </c>
      <c r="L2" s="5">
        <v>-3.5984000000000002E-17</v>
      </c>
      <c r="M2" s="6">
        <v>5.3000000000000003E-18</v>
      </c>
    </row>
    <row r="3" spans="1:13" ht="15.75" customHeight="1">
      <c r="A3" s="4">
        <v>45408</v>
      </c>
      <c r="B3" s="8">
        <v>-1.085646364E-16</v>
      </c>
      <c r="C3" s="6">
        <v>7.9599999999999992E-18</v>
      </c>
      <c r="D3" s="9">
        <v>-1.077348E-16</v>
      </c>
      <c r="E3" s="6">
        <v>7.2299999999999993E-18</v>
      </c>
      <c r="F3" s="8">
        <v>1.01053004E-17</v>
      </c>
      <c r="G3" s="6">
        <v>3.6999999999999997E-17</v>
      </c>
      <c r="H3" s="8">
        <v>1.6542019548763701E-17</v>
      </c>
      <c r="I3" s="6">
        <v>3.8999999999999999E-17</v>
      </c>
      <c r="J3" s="8">
        <v>-9.6297247E-17</v>
      </c>
      <c r="K3" s="6">
        <v>3.6999999999999997E-17</v>
      </c>
      <c r="L3" s="8">
        <v>-9.1070035E-17</v>
      </c>
      <c r="M3" s="6">
        <v>3.2000000000000002E-17</v>
      </c>
    </row>
    <row r="4" spans="1:13" ht="15.75" customHeight="1">
      <c r="A4" s="4">
        <v>45456</v>
      </c>
      <c r="B4" s="8">
        <v>-1.1652159900000001E-16</v>
      </c>
      <c r="C4" s="6">
        <v>2.9999999999999998E-18</v>
      </c>
      <c r="D4" s="5">
        <v>-1.179E-16</v>
      </c>
      <c r="E4" s="6">
        <v>3.6899999999999996E-18</v>
      </c>
      <c r="F4" s="5"/>
      <c r="H4" s="5"/>
      <c r="J4" s="5"/>
      <c r="L4" s="5"/>
    </row>
    <row r="5" spans="1:13" ht="15.75" customHeight="1">
      <c r="A5" s="4">
        <v>45489</v>
      </c>
      <c r="B5" s="8">
        <v>-1.2675935000000001E-16</v>
      </c>
      <c r="C5" s="6">
        <v>2.9799999999999999E-18</v>
      </c>
      <c r="D5" s="8">
        <v>-1.2601E-16</v>
      </c>
      <c r="E5" s="6">
        <v>2.6E-18</v>
      </c>
      <c r="F5" s="5"/>
      <c r="H5" s="5"/>
      <c r="J5" s="5"/>
      <c r="L5" s="5"/>
    </row>
    <row r="6" spans="1:13" ht="15.75" customHeight="1">
      <c r="A6" s="4">
        <v>45490</v>
      </c>
      <c r="B6" s="8">
        <v>-1.2533477000000001E-16</v>
      </c>
      <c r="C6" s="6">
        <v>1.6E-18</v>
      </c>
      <c r="D6" s="8">
        <v>-1.2514E-16</v>
      </c>
      <c r="E6" s="6">
        <v>1.7E-18</v>
      </c>
      <c r="F6" s="5"/>
      <c r="H6" s="5"/>
      <c r="J6" s="5"/>
      <c r="L6" s="5"/>
    </row>
    <row r="7" spans="1:13" ht="15.75" customHeight="1">
      <c r="A7" s="4">
        <v>45517</v>
      </c>
      <c r="B7" s="5">
        <v>-1.100326E-16</v>
      </c>
      <c r="C7" s="6">
        <v>2.1E-18</v>
      </c>
      <c r="D7" s="5">
        <v>-1.0840310000000001E-16</v>
      </c>
      <c r="E7" s="6">
        <v>2.1E-18</v>
      </c>
      <c r="F7" s="5">
        <v>-1.9299400000000001E-17</v>
      </c>
      <c r="G7" s="6">
        <v>2.9999999999999998E-18</v>
      </c>
      <c r="H7" s="5">
        <v>-1.99108E-17</v>
      </c>
      <c r="I7" s="6">
        <v>3.3000000000000002E-18</v>
      </c>
      <c r="J7" s="5">
        <v>-1.2699100000000001E-16</v>
      </c>
      <c r="K7" s="6">
        <v>3.1999999999999999E-18</v>
      </c>
      <c r="L7" s="5">
        <v>-1.282664354E-16</v>
      </c>
      <c r="M7" s="6">
        <v>2.6999999999999999E-18</v>
      </c>
    </row>
    <row r="8" spans="1:13" ht="15.75" customHeight="1">
      <c r="A8" s="4">
        <v>45616</v>
      </c>
      <c r="B8" s="5">
        <v>-9.9099999999999998E-17</v>
      </c>
      <c r="C8" s="6">
        <v>5.5E-18</v>
      </c>
      <c r="D8" s="5">
        <v>-9.8300000000000002E-17</v>
      </c>
      <c r="E8" s="6">
        <v>5.5E-18</v>
      </c>
      <c r="F8" s="5"/>
      <c r="H8" s="5"/>
      <c r="J8" s="5"/>
      <c r="L8" s="5"/>
    </row>
    <row r="9" spans="1:13" ht="15.75" customHeight="1">
      <c r="A9" s="4">
        <v>45616</v>
      </c>
      <c r="B9" s="5">
        <v>-9.3599999999999995E-17</v>
      </c>
      <c r="C9" s="6">
        <v>2.9E-18</v>
      </c>
      <c r="D9" s="5">
        <v>-9.2900000000000003E-17</v>
      </c>
      <c r="E9" s="6">
        <v>2.9999999999999998E-18</v>
      </c>
      <c r="F9" s="5"/>
      <c r="H9" s="5"/>
      <c r="J9" s="5"/>
      <c r="L9" s="5"/>
    </row>
    <row r="10" spans="1:13" ht="15.75" customHeight="1">
      <c r="A10" s="4">
        <v>45639</v>
      </c>
      <c r="B10" s="8">
        <v>-1.1116640398480999E-16</v>
      </c>
      <c r="C10" s="6">
        <v>2.3399999999999999E-18</v>
      </c>
      <c r="D10" s="5">
        <v>-1.10851485295661E-16</v>
      </c>
      <c r="E10" s="6">
        <v>2.3999999999999999E-18</v>
      </c>
      <c r="F10" s="5"/>
      <c r="H10" s="5"/>
      <c r="J10" s="5"/>
      <c r="L10" s="5"/>
    </row>
    <row r="11" spans="1:13" ht="15.75" customHeight="1">
      <c r="A11" s="4">
        <v>45642</v>
      </c>
      <c r="B11" s="8">
        <v>-1.10302046385766E-16</v>
      </c>
      <c r="C11" s="6">
        <v>2.0499999999999999E-18</v>
      </c>
      <c r="D11" s="8">
        <v>-1.08773856602756E-16</v>
      </c>
      <c r="E11" s="6">
        <v>2.18E-18</v>
      </c>
      <c r="F11" s="5"/>
      <c r="H11" s="5"/>
      <c r="J11" s="5"/>
      <c r="L11" s="5"/>
    </row>
    <row r="12" spans="1:13" ht="15.75" customHeight="1">
      <c r="A12" s="4">
        <v>45673</v>
      </c>
      <c r="B12" s="8">
        <v>-1.03347188111754E-16</v>
      </c>
      <c r="C12" s="6">
        <v>2.18E-18</v>
      </c>
      <c r="D12" s="5"/>
      <c r="F12" s="8">
        <v>-3.1470307665382097E-17</v>
      </c>
      <c r="G12" s="6">
        <v>8.3699999999999994E-18</v>
      </c>
      <c r="H12" s="5"/>
      <c r="J12" s="8">
        <v>-1.3509617800291299E-16</v>
      </c>
      <c r="K12" s="6">
        <v>6.9000000000000003E-18</v>
      </c>
      <c r="L12" s="8">
        <v>-1.25910195120488E-16</v>
      </c>
      <c r="M12" s="6">
        <v>4.6000000000000002E-18</v>
      </c>
    </row>
    <row r="13" spans="1:13" ht="15.75" customHeight="1">
      <c r="A13" s="1">
        <v>45681</v>
      </c>
      <c r="B13" s="8">
        <v>-1.0114646883233101E-16</v>
      </c>
      <c r="C13" s="6">
        <v>2.1400000000000002E-18</v>
      </c>
      <c r="D13" s="8">
        <v>-1.00867418510577E-16</v>
      </c>
      <c r="E13" s="6">
        <v>2.8700000000000001E-18</v>
      </c>
      <c r="F13" s="8">
        <v>-8.7462205551124904E-18</v>
      </c>
      <c r="G13" s="6">
        <v>1.1E-17</v>
      </c>
      <c r="H13" s="8">
        <v>-3.4185757158632597E-17</v>
      </c>
      <c r="I13" s="6">
        <v>1.285E-17</v>
      </c>
      <c r="J13" s="8">
        <v>-1.1406756402073299E-16</v>
      </c>
      <c r="K13" s="6">
        <v>7.5000000000000002E-18</v>
      </c>
      <c r="L13" s="8">
        <v>-1.2529145493113101E-16</v>
      </c>
      <c r="M13" s="6">
        <v>7.2999999999999997E-18</v>
      </c>
    </row>
    <row r="14" spans="1:13" ht="15.75" customHeight="1">
      <c r="A14" s="1">
        <v>45692</v>
      </c>
      <c r="B14" s="8">
        <v>-1.09353390818121E-16</v>
      </c>
      <c r="C14" s="6">
        <v>1.6099999999999999E-18</v>
      </c>
      <c r="D14" s="8">
        <v>-1.0897215166162E-16</v>
      </c>
      <c r="E14" s="6">
        <v>1.5100000000000001E-18</v>
      </c>
      <c r="F14" s="8">
        <v>-1.6436248084113101E-17</v>
      </c>
      <c r="G14" s="6">
        <v>4.3999999999999997E-18</v>
      </c>
      <c r="H14" s="8">
        <v>-1.6943851268181599E-17</v>
      </c>
      <c r="I14" s="6">
        <v>4.3000000000000002E-18</v>
      </c>
      <c r="J14" s="8">
        <v>-1.2576081401119101E-16</v>
      </c>
      <c r="K14" s="6">
        <v>3.7000000000000003E-18</v>
      </c>
      <c r="L14" s="8">
        <v>-1.2595568810911601E-16</v>
      </c>
      <c r="M14" s="6">
        <v>4.6000000000000002E-18</v>
      </c>
    </row>
    <row r="15" spans="1:13" ht="15.75" customHeight="1">
      <c r="A15" s="1">
        <v>45694</v>
      </c>
      <c r="B15" s="8">
        <v>-1.07532721415927E-16</v>
      </c>
      <c r="C15" s="6">
        <v>2.1999999999999998E-18</v>
      </c>
      <c r="D15" s="5">
        <v>-1.0711030076467701E-16</v>
      </c>
      <c r="E15" s="6">
        <v>2.1E-18</v>
      </c>
      <c r="F15" s="8">
        <v>-1.7611794863654999E-17</v>
      </c>
      <c r="G15" s="6">
        <v>4.7999999999999999E-18</v>
      </c>
      <c r="H15" s="8">
        <v>-1.69889755748268E-17</v>
      </c>
      <c r="I15" s="6">
        <v>5.0999999999999998E-18</v>
      </c>
      <c r="J15" s="8">
        <v>-1.2810470506039701E-16</v>
      </c>
      <c r="K15" s="6">
        <v>4.0000000000000003E-18</v>
      </c>
      <c r="L15" s="8">
        <v>1.27077327495885E-16</v>
      </c>
      <c r="M15" s="6">
        <v>3.9E-18</v>
      </c>
    </row>
    <row r="16" spans="1:13" ht="15.75" customHeight="1">
      <c r="A16" s="1">
        <v>45715</v>
      </c>
      <c r="B16" s="8">
        <v>-1.09471084724824E-16</v>
      </c>
      <c r="C16" s="6">
        <v>1.8000000000000001E-18</v>
      </c>
      <c r="D16" s="8">
        <v>-1.09727355109114E-16</v>
      </c>
      <c r="E16" s="6">
        <v>1.8999999999999999E-18</v>
      </c>
      <c r="F16" s="8">
        <v>-1.35941611664711E-17</v>
      </c>
      <c r="G16" s="6">
        <v>4.2E-18</v>
      </c>
      <c r="H16" s="8">
        <v>-1.37797638610373E-17</v>
      </c>
      <c r="I16" s="6">
        <v>4.9000000000000001E-18</v>
      </c>
      <c r="J16" s="8">
        <v>-1.2278058252890299E-16</v>
      </c>
      <c r="K16" s="6">
        <v>3.4999999999999999E-18</v>
      </c>
      <c r="L16" s="8">
        <v>-1.2350975853032499E-16</v>
      </c>
      <c r="M16" s="6">
        <v>4.7999999999999999E-18</v>
      </c>
    </row>
    <row r="17" spans="1:13" ht="15.75" customHeight="1">
      <c r="A17" s="1">
        <v>45716</v>
      </c>
      <c r="B17" s="8">
        <v>-1.04849715814823E-16</v>
      </c>
      <c r="C17" s="6">
        <v>1.7E-18</v>
      </c>
      <c r="D17" s="8">
        <v>-1.04395391802532E-16</v>
      </c>
      <c r="E17" s="6">
        <v>1.6E-18</v>
      </c>
      <c r="F17" s="8">
        <v>-7.9533643044773002E-18</v>
      </c>
      <c r="G17" s="6">
        <v>4.0999999999999998E-18</v>
      </c>
      <c r="H17" s="8">
        <v>-8.3175921681108599E-18</v>
      </c>
      <c r="I17" s="6">
        <v>4.3000000000000002E-18</v>
      </c>
      <c r="J17" s="8">
        <v>-1.1378994930093999E-16</v>
      </c>
      <c r="K17" s="6">
        <v>3.4E-18</v>
      </c>
      <c r="L17" s="8">
        <v>-1.1349518912894201E-16</v>
      </c>
      <c r="M17" s="6">
        <v>4.0000000000000003E-18</v>
      </c>
    </row>
    <row r="18" spans="1:13" ht="15.75" customHeight="1">
      <c r="A18" s="1">
        <v>45720</v>
      </c>
      <c r="B18" s="8">
        <v>-1.06171316881457E-16</v>
      </c>
      <c r="C18" s="6">
        <v>1.7E-18</v>
      </c>
      <c r="D18" s="8">
        <v>-1.05980417617604E-16</v>
      </c>
      <c r="E18" s="6">
        <v>1.8000000000000001E-18</v>
      </c>
      <c r="F18" s="8">
        <v>-1.2690612989905499E-17</v>
      </c>
      <c r="G18" s="6">
        <v>5.0000000000000004E-18</v>
      </c>
      <c r="H18" s="8">
        <v>-1.23904185045505E-17</v>
      </c>
      <c r="I18" s="6">
        <v>5.0999999999999998E-18</v>
      </c>
      <c r="J18" s="8">
        <v>-1.18971359778052E-16</v>
      </c>
      <c r="K18" s="6">
        <v>4.0999999999999998E-18</v>
      </c>
      <c r="L18" s="8">
        <v>-1.18606514738478E-16</v>
      </c>
      <c r="M18" s="6">
        <v>5.3000000000000003E-18</v>
      </c>
    </row>
    <row r="19" spans="1:13" ht="15.75" customHeight="1">
      <c r="A19" s="1">
        <v>45722</v>
      </c>
      <c r="B19" s="8">
        <v>-1.06858714734259E-16</v>
      </c>
      <c r="C19" s="6">
        <v>1.8999999999999999E-18</v>
      </c>
      <c r="D19" s="8">
        <v>-1.0599849637510401E-16</v>
      </c>
      <c r="E19" s="6">
        <v>2.1E-18</v>
      </c>
      <c r="F19" s="8">
        <v>-1.2793993613382E-17</v>
      </c>
      <c r="G19" s="6">
        <v>4.9499999999999999E-18</v>
      </c>
      <c r="H19" s="8">
        <v>-1.28143401918957E-17</v>
      </c>
      <c r="I19" s="6">
        <v>5.0999999999999998E-18</v>
      </c>
      <c r="J19" s="8">
        <v>-1.21797965733725E-16</v>
      </c>
      <c r="K19" s="6">
        <v>4.0999999999999998E-18</v>
      </c>
      <c r="L19" s="8">
        <v>-1.2116710004036701E-16</v>
      </c>
      <c r="M19" s="6">
        <v>4.7999999999999999E-18</v>
      </c>
    </row>
    <row r="20" spans="1:13" ht="15.75" customHeight="1">
      <c r="A20" s="1">
        <v>45723</v>
      </c>
      <c r="B20" s="8">
        <v>-1.05076878559518E-16</v>
      </c>
      <c r="C20" s="6">
        <v>2.25E-18</v>
      </c>
      <c r="D20" s="8">
        <v>-1.04634546219984E-16</v>
      </c>
      <c r="E20" s="6">
        <v>2.1899999999999999E-18</v>
      </c>
      <c r="F20" s="8">
        <v>-2.2422268462044298E-17</v>
      </c>
      <c r="G20" s="6">
        <v>5.8E-18</v>
      </c>
      <c r="H20" s="8">
        <v>-2.2282063401213199E-17</v>
      </c>
      <c r="I20" s="6">
        <v>6.0999999999999999E-18</v>
      </c>
      <c r="J20" s="8">
        <v>-1.25703308310817E-16</v>
      </c>
      <c r="K20" s="6">
        <v>4.7999999999999999E-18</v>
      </c>
      <c r="L20" s="8">
        <v>-1.2464309772831599E-16</v>
      </c>
      <c r="M20" s="6">
        <v>4.2299999999999998E-18</v>
      </c>
    </row>
    <row r="21" spans="1:13" ht="15.75" customHeight="1">
      <c r="A21" s="1">
        <v>45729</v>
      </c>
      <c r="B21" s="8">
        <v>-1.0849215499421E-16</v>
      </c>
      <c r="C21" s="6">
        <v>1.8999999999999999E-18</v>
      </c>
      <c r="D21" s="8">
        <v>-1.08652179621986E-16</v>
      </c>
      <c r="E21" s="6">
        <v>1.8890000000000001E-18</v>
      </c>
      <c r="F21" s="8">
        <v>-1.21701951275657E-17</v>
      </c>
      <c r="G21" s="6">
        <v>4.6499999999999999E-18</v>
      </c>
      <c r="H21" s="8">
        <v>-1.18253831678882E-17</v>
      </c>
      <c r="I21" s="6">
        <v>5.0799999999999999E-18</v>
      </c>
      <c r="J21" s="8">
        <v>-1.19536742816874E-16</v>
      </c>
      <c r="K21" s="6">
        <v>5.2399999999999999E-18</v>
      </c>
      <c r="L21" s="8">
        <v>-1.191063356258E-16</v>
      </c>
      <c r="M21" s="6">
        <v>3.8700000000000002E-18</v>
      </c>
    </row>
    <row r="22" spans="1:13" ht="15.75" customHeight="1">
      <c r="A22" s="1">
        <v>45734</v>
      </c>
      <c r="B22" s="8">
        <v>-1.0685956104812301E-16</v>
      </c>
      <c r="C22" s="6">
        <v>2.1999999999999998E-18</v>
      </c>
      <c r="D22" s="8">
        <v>-1.06034991931845E-16</v>
      </c>
      <c r="E22" s="6">
        <v>2.32E-18</v>
      </c>
      <c r="F22" s="8">
        <v>-1.28485560108035E-17</v>
      </c>
      <c r="G22" s="6">
        <v>7.2799999999999998E-18</v>
      </c>
      <c r="H22" s="5">
        <v>-1.27193609284683E-17</v>
      </c>
      <c r="I22" s="6">
        <v>7.5999999999999996E-18</v>
      </c>
      <c r="J22" s="8">
        <v>-1.1816221371104299E-16</v>
      </c>
      <c r="K22" s="6">
        <v>6.0300000000000003E-18</v>
      </c>
      <c r="L22" s="8">
        <v>-1.17996890134968E-16</v>
      </c>
      <c r="M22" s="6">
        <v>8.7999999999999996E-20</v>
      </c>
    </row>
    <row r="23" spans="1:13" ht="15.75" customHeight="1">
      <c r="A23" s="1">
        <v>45736</v>
      </c>
      <c r="B23" s="8">
        <v>-1.09298171396674E-16</v>
      </c>
      <c r="C23" s="6">
        <v>1.6099999999999999E-18</v>
      </c>
      <c r="D23" s="8">
        <v>-1.0900348195082099E-16</v>
      </c>
      <c r="E23" s="6">
        <v>1.7800000000000002E-18</v>
      </c>
      <c r="F23" s="8">
        <v>-1.26372198874472E-17</v>
      </c>
      <c r="G23" s="6">
        <v>3.9799999999999996E-18</v>
      </c>
      <c r="H23" s="8">
        <v>-1.3734679352346E-17</v>
      </c>
      <c r="I23" s="6">
        <v>3.7899999999999999E-18</v>
      </c>
      <c r="J23" s="8">
        <v>-1.2257156909627501E-16</v>
      </c>
      <c r="K23" s="6">
        <v>3.3000000000000002E-18</v>
      </c>
      <c r="L23" s="8">
        <v>-1.2353961037258801E-16</v>
      </c>
      <c r="M23" s="6">
        <v>4.0999999999999998E-18</v>
      </c>
    </row>
    <row r="24" spans="1:13" ht="15.75" customHeight="1">
      <c r="A24" s="1">
        <v>45737</v>
      </c>
      <c r="B24" s="5"/>
      <c r="D24" s="5"/>
      <c r="F24" s="5"/>
      <c r="H24" s="5"/>
      <c r="J24" s="5"/>
      <c r="L24" s="5"/>
    </row>
    <row r="25" spans="1:13" ht="15.75" customHeight="1">
      <c r="B25" s="5"/>
      <c r="D25" s="5"/>
      <c r="F25" s="5"/>
      <c r="H25" s="5"/>
      <c r="J25" s="5"/>
      <c r="L25" s="5"/>
    </row>
    <row r="26" spans="1:13" ht="15.75" customHeight="1">
      <c r="B26" s="5"/>
      <c r="D26" s="5"/>
      <c r="F26" s="5"/>
      <c r="H26" s="5"/>
      <c r="J26" s="5"/>
      <c r="L26" s="5"/>
    </row>
    <row r="27" spans="1:13" ht="15.75" customHeight="1">
      <c r="B27" s="5"/>
      <c r="D27" s="5"/>
      <c r="F27" s="5"/>
      <c r="H27" s="5"/>
      <c r="J27" s="5"/>
      <c r="L27" s="5"/>
    </row>
    <row r="28" spans="1:13" ht="15.75" customHeight="1">
      <c r="B28" s="5"/>
      <c r="D28" s="5"/>
      <c r="F28" s="5"/>
      <c r="H28" s="5"/>
      <c r="J28" s="5"/>
      <c r="L28" s="5"/>
    </row>
    <row r="29" spans="1:13" ht="15.75" customHeight="1">
      <c r="B29" s="5"/>
      <c r="D29" s="5"/>
      <c r="F29" s="5"/>
      <c r="H29" s="5"/>
      <c r="J29" s="5"/>
      <c r="L29" s="5"/>
    </row>
    <row r="30" spans="1:13" ht="15.75" customHeight="1">
      <c r="B30" s="5"/>
      <c r="D30" s="5"/>
      <c r="F30" s="5"/>
      <c r="H30" s="5"/>
      <c r="J30" s="5"/>
      <c r="L30" s="5"/>
    </row>
    <row r="31" spans="1:13" ht="15.75" customHeight="1">
      <c r="B31" s="5"/>
      <c r="D31" s="5"/>
      <c r="F31" s="5"/>
      <c r="H31" s="5"/>
      <c r="J31" s="5"/>
      <c r="L31" s="5"/>
    </row>
    <row r="32" spans="1:13" ht="15.75" customHeight="1">
      <c r="B32" s="5"/>
      <c r="D32" s="5"/>
      <c r="F32" s="5"/>
      <c r="H32" s="5"/>
      <c r="J32" s="5"/>
      <c r="L32" s="5"/>
    </row>
    <row r="33" spans="2:12" ht="15.75" customHeight="1">
      <c r="B33" s="5"/>
      <c r="D33" s="5"/>
      <c r="F33" s="5"/>
      <c r="H33" s="5"/>
      <c r="J33" s="5"/>
      <c r="L33" s="5"/>
    </row>
    <row r="34" spans="2:12" ht="15.75" customHeight="1">
      <c r="B34" s="5"/>
      <c r="D34" s="5"/>
      <c r="F34" s="5"/>
      <c r="H34" s="5"/>
      <c r="J34" s="5"/>
      <c r="L34" s="5"/>
    </row>
    <row r="35" spans="2:12" ht="15.75" customHeight="1">
      <c r="B35" s="5"/>
      <c r="D35" s="5"/>
      <c r="F35" s="5"/>
      <c r="H35" s="5"/>
      <c r="J35" s="5"/>
      <c r="L35" s="5"/>
    </row>
    <row r="36" spans="2:12" ht="15.75" customHeight="1">
      <c r="B36" s="5"/>
      <c r="D36" s="5"/>
      <c r="F36" s="5"/>
      <c r="H36" s="5"/>
      <c r="J36" s="5"/>
      <c r="L36" s="5"/>
    </row>
    <row r="37" spans="2:12" ht="15.75" customHeight="1">
      <c r="B37" s="5"/>
      <c r="D37" s="5"/>
      <c r="F37" s="5"/>
      <c r="H37" s="5"/>
      <c r="J37" s="5"/>
      <c r="L37" s="5"/>
    </row>
    <row r="38" spans="2:12" ht="15.75" customHeight="1">
      <c r="B38" s="5"/>
      <c r="D38" s="5"/>
      <c r="F38" s="5"/>
      <c r="H38" s="5"/>
      <c r="J38" s="5"/>
      <c r="L38" s="5"/>
    </row>
    <row r="39" spans="2:12" ht="15.75" customHeight="1">
      <c r="B39" s="5"/>
      <c r="D39" s="5"/>
      <c r="F39" s="5"/>
      <c r="H39" s="5"/>
      <c r="J39" s="5"/>
      <c r="L39" s="5"/>
    </row>
    <row r="40" spans="2:12" ht="15.75" customHeight="1">
      <c r="B40" s="5"/>
      <c r="D40" s="5"/>
      <c r="F40" s="5"/>
      <c r="H40" s="5"/>
      <c r="J40" s="5"/>
      <c r="L40" s="5"/>
    </row>
    <row r="41" spans="2:12" ht="15.75" customHeight="1">
      <c r="B41" s="5"/>
      <c r="D41" s="5"/>
      <c r="F41" s="5"/>
      <c r="H41" s="5"/>
      <c r="J41" s="5"/>
      <c r="L41" s="5"/>
    </row>
    <row r="42" spans="2:12" ht="15.75" customHeight="1">
      <c r="B42" s="5"/>
      <c r="D42" s="5"/>
      <c r="F42" s="5"/>
      <c r="H42" s="5"/>
      <c r="J42" s="5"/>
      <c r="L42" s="5"/>
    </row>
    <row r="43" spans="2:12" ht="15.75" customHeight="1">
      <c r="B43" s="5"/>
      <c r="D43" s="5"/>
      <c r="F43" s="5"/>
      <c r="H43" s="5"/>
      <c r="J43" s="5"/>
      <c r="L43" s="5"/>
    </row>
    <row r="44" spans="2:12" ht="15.75" customHeight="1">
      <c r="B44" s="5"/>
      <c r="D44" s="5"/>
      <c r="F44" s="5"/>
      <c r="H44" s="5"/>
      <c r="J44" s="5"/>
      <c r="L44" s="5"/>
    </row>
    <row r="45" spans="2:12" ht="15.75" customHeight="1">
      <c r="B45" s="5"/>
      <c r="D45" s="5"/>
      <c r="F45" s="5"/>
      <c r="H45" s="5"/>
      <c r="J45" s="5"/>
      <c r="L45" s="5"/>
    </row>
    <row r="46" spans="2:12" ht="15.75" customHeight="1">
      <c r="B46" s="5"/>
      <c r="D46" s="5"/>
      <c r="F46" s="5"/>
      <c r="H46" s="5"/>
      <c r="J46" s="5"/>
      <c r="L46" s="5"/>
    </row>
    <row r="47" spans="2:12" ht="15.75" customHeight="1">
      <c r="B47" s="5"/>
      <c r="D47" s="5"/>
      <c r="F47" s="5"/>
      <c r="H47" s="5"/>
      <c r="J47" s="5"/>
      <c r="L47" s="5"/>
    </row>
    <row r="48" spans="2:12" ht="15.75" customHeight="1">
      <c r="B48" s="5"/>
      <c r="D48" s="5"/>
      <c r="F48" s="5"/>
      <c r="H48" s="5"/>
      <c r="J48" s="5"/>
      <c r="L48" s="5"/>
    </row>
    <row r="49" spans="2:12" ht="18" customHeight="1">
      <c r="B49" s="5"/>
      <c r="D49" s="5"/>
      <c r="F49" s="5"/>
      <c r="H49" s="5"/>
      <c r="J49" s="5"/>
      <c r="L49" s="5"/>
    </row>
    <row r="50" spans="2:12" ht="18" customHeight="1">
      <c r="B50" s="5"/>
      <c r="D50" s="5"/>
      <c r="F50" s="5"/>
      <c r="H50" s="5"/>
      <c r="J50" s="5"/>
      <c r="L50" s="5"/>
    </row>
    <row r="51" spans="2:12" ht="18" customHeight="1">
      <c r="B51" s="5"/>
      <c r="D51" s="5"/>
      <c r="F51" s="5"/>
      <c r="H51" s="5"/>
      <c r="J51" s="5"/>
      <c r="L51" s="5"/>
    </row>
    <row r="52" spans="2:12" ht="18" customHeight="1">
      <c r="B52" s="5"/>
      <c r="D52" s="5"/>
      <c r="F52" s="5"/>
      <c r="H52" s="5"/>
      <c r="J52" s="5"/>
      <c r="L52" s="5"/>
    </row>
    <row r="53" spans="2:12" ht="18" customHeight="1">
      <c r="B53" s="5"/>
      <c r="D53" s="5"/>
      <c r="F53" s="5"/>
      <c r="H53" s="5"/>
      <c r="J53" s="5"/>
      <c r="L53" s="5"/>
    </row>
    <row r="54" spans="2:12" ht="18" customHeight="1">
      <c r="B54" s="5"/>
      <c r="D54" s="5"/>
      <c r="F54" s="5"/>
      <c r="H54" s="5"/>
      <c r="J54" s="5"/>
      <c r="L54" s="5"/>
    </row>
    <row r="55" spans="2:12" ht="18" customHeight="1">
      <c r="B55" s="5"/>
      <c r="D55" s="5"/>
      <c r="F55" s="5"/>
      <c r="H55" s="5"/>
      <c r="J55" s="5"/>
      <c r="L55" s="5"/>
    </row>
    <row r="56" spans="2:12" ht="18" customHeight="1">
      <c r="B56" s="5"/>
      <c r="D56" s="5"/>
      <c r="F56" s="5"/>
      <c r="H56" s="5"/>
      <c r="J56" s="5"/>
      <c r="L56" s="5"/>
    </row>
    <row r="57" spans="2:12" ht="18" customHeight="1">
      <c r="B57" s="5"/>
      <c r="D57" s="5"/>
      <c r="F57" s="5"/>
      <c r="H57" s="5"/>
      <c r="J57" s="5"/>
      <c r="L57" s="5"/>
    </row>
    <row r="58" spans="2:12" ht="18" customHeight="1">
      <c r="B58" s="5"/>
      <c r="D58" s="5"/>
      <c r="F58" s="5"/>
      <c r="H58" s="5"/>
      <c r="J58" s="5"/>
      <c r="L58" s="5"/>
    </row>
    <row r="59" spans="2:12" ht="18" customHeight="1">
      <c r="B59" s="5"/>
      <c r="D59" s="5"/>
      <c r="F59" s="5"/>
      <c r="H59" s="5"/>
      <c r="J59" s="5"/>
      <c r="L59" s="5"/>
    </row>
    <row r="60" spans="2:12" ht="18" customHeight="1">
      <c r="B60" s="5"/>
      <c r="D60" s="5"/>
      <c r="F60" s="5"/>
      <c r="H60" s="5"/>
      <c r="J60" s="5"/>
      <c r="L60" s="5"/>
    </row>
    <row r="61" spans="2:12" ht="18" customHeight="1">
      <c r="B61" s="5"/>
      <c r="D61" s="5"/>
      <c r="F61" s="5"/>
      <c r="H61" s="5"/>
      <c r="J61" s="5"/>
      <c r="L61" s="5"/>
    </row>
    <row r="62" spans="2:12" ht="18" customHeight="1">
      <c r="B62" s="5"/>
      <c r="D62" s="5"/>
      <c r="F62" s="5"/>
      <c r="H62" s="5"/>
      <c r="J62" s="5"/>
      <c r="L62" s="5"/>
    </row>
    <row r="63" spans="2:12" ht="18" customHeight="1">
      <c r="B63" s="5"/>
      <c r="D63" s="5"/>
      <c r="F63" s="5"/>
      <c r="H63" s="5"/>
      <c r="J63" s="5"/>
      <c r="L63" s="5"/>
    </row>
    <row r="64" spans="2:12" ht="18" customHeight="1">
      <c r="B64" s="5"/>
      <c r="D64" s="5"/>
      <c r="F64" s="5"/>
      <c r="H64" s="5"/>
      <c r="J64" s="5"/>
      <c r="L64" s="5"/>
    </row>
    <row r="65" spans="2:12" ht="18" customHeight="1">
      <c r="B65" s="5"/>
      <c r="D65" s="5"/>
      <c r="F65" s="5"/>
      <c r="H65" s="5"/>
      <c r="J65" s="5"/>
      <c r="L65" s="5"/>
    </row>
    <row r="66" spans="2:12" ht="18" customHeight="1">
      <c r="B66" s="5"/>
      <c r="D66" s="5"/>
      <c r="F66" s="5"/>
      <c r="H66" s="5"/>
      <c r="J66" s="5"/>
      <c r="L66" s="5"/>
    </row>
    <row r="67" spans="2:12" ht="18" customHeight="1">
      <c r="B67" s="5"/>
      <c r="D67" s="5"/>
      <c r="F67" s="5"/>
      <c r="H67" s="5"/>
      <c r="J67" s="5"/>
      <c r="L67" s="5"/>
    </row>
    <row r="68" spans="2:12" ht="18" customHeight="1">
      <c r="B68" s="5"/>
      <c r="D68" s="5"/>
      <c r="F68" s="5"/>
      <c r="H68" s="5"/>
      <c r="J68" s="5"/>
      <c r="L68" s="5"/>
    </row>
    <row r="69" spans="2:12" ht="18" customHeight="1">
      <c r="B69" s="5"/>
      <c r="D69" s="5"/>
      <c r="F69" s="5"/>
      <c r="H69" s="5"/>
      <c r="J69" s="5"/>
      <c r="L69" s="5"/>
    </row>
    <row r="70" spans="2:12" ht="18" customHeight="1">
      <c r="B70" s="5"/>
      <c r="D70" s="5"/>
      <c r="F70" s="5"/>
      <c r="H70" s="5"/>
      <c r="J70" s="5"/>
      <c r="L70" s="5"/>
    </row>
    <row r="71" spans="2:12" ht="18" customHeight="1">
      <c r="B71" s="5"/>
      <c r="D71" s="5"/>
      <c r="F71" s="5"/>
      <c r="H71" s="5"/>
      <c r="J71" s="5"/>
      <c r="L71" s="5"/>
    </row>
    <row r="72" spans="2:12" ht="18" customHeight="1">
      <c r="B72" s="5"/>
      <c r="D72" s="5"/>
      <c r="F72" s="5"/>
      <c r="H72" s="5"/>
      <c r="J72" s="5"/>
      <c r="L72" s="5"/>
    </row>
    <row r="73" spans="2:12" ht="18" customHeight="1">
      <c r="B73" s="5"/>
      <c r="D73" s="5"/>
      <c r="F73" s="5"/>
      <c r="H73" s="5"/>
      <c r="J73" s="5"/>
      <c r="L73" s="5"/>
    </row>
    <row r="74" spans="2:12" ht="18" customHeight="1">
      <c r="B74" s="5"/>
      <c r="D74" s="5"/>
      <c r="F74" s="5"/>
      <c r="H74" s="5"/>
      <c r="J74" s="5"/>
      <c r="L74" s="5"/>
    </row>
    <row r="75" spans="2:12" ht="18" customHeight="1">
      <c r="B75" s="5"/>
      <c r="D75" s="5"/>
      <c r="F75" s="5"/>
      <c r="H75" s="5"/>
      <c r="J75" s="5"/>
      <c r="L75" s="5"/>
    </row>
    <row r="76" spans="2:12" ht="18" customHeight="1">
      <c r="B76" s="5"/>
      <c r="D76" s="5"/>
      <c r="F76" s="5"/>
      <c r="H76" s="5"/>
      <c r="J76" s="5"/>
      <c r="L76" s="5"/>
    </row>
    <row r="77" spans="2:12" ht="18" customHeight="1">
      <c r="B77" s="5"/>
      <c r="D77" s="5"/>
      <c r="F77" s="5"/>
      <c r="H77" s="5"/>
      <c r="J77" s="5"/>
      <c r="L77" s="5"/>
    </row>
    <row r="78" spans="2:12" ht="18" customHeight="1">
      <c r="B78" s="5"/>
      <c r="D78" s="5"/>
      <c r="F78" s="5"/>
      <c r="H78" s="5"/>
      <c r="J78" s="5"/>
      <c r="L78" s="5"/>
    </row>
    <row r="79" spans="2:12" ht="18" customHeight="1">
      <c r="B79" s="5"/>
      <c r="D79" s="5"/>
      <c r="F79" s="5"/>
      <c r="H79" s="5"/>
      <c r="J79" s="5"/>
      <c r="L79" s="5"/>
    </row>
    <row r="80" spans="2:12" ht="18" customHeight="1">
      <c r="B80" s="5"/>
      <c r="D80" s="5"/>
      <c r="F80" s="5"/>
      <c r="H80" s="5"/>
      <c r="J80" s="5"/>
      <c r="L80" s="5"/>
    </row>
    <row r="81" spans="2:12" ht="18" customHeight="1">
      <c r="B81" s="5"/>
      <c r="D81" s="5"/>
      <c r="F81" s="5"/>
      <c r="H81" s="5"/>
      <c r="J81" s="5"/>
      <c r="L81" s="5"/>
    </row>
    <row r="82" spans="2:12" ht="18" customHeight="1">
      <c r="B82" s="5"/>
      <c r="D82" s="5"/>
      <c r="F82" s="5"/>
      <c r="H82" s="5"/>
      <c r="J82" s="5"/>
      <c r="L82" s="5"/>
    </row>
    <row r="83" spans="2:12" ht="18" customHeight="1">
      <c r="B83" s="5"/>
      <c r="D83" s="5"/>
      <c r="F83" s="5"/>
      <c r="H83" s="5"/>
      <c r="J83" s="5"/>
      <c r="L83" s="5"/>
    </row>
    <row r="84" spans="2:12" ht="18" customHeight="1">
      <c r="B84" s="5"/>
      <c r="D84" s="5"/>
      <c r="F84" s="5"/>
      <c r="H84" s="5"/>
      <c r="J84" s="5"/>
      <c r="L84" s="5"/>
    </row>
    <row r="85" spans="2:12" ht="18" customHeight="1">
      <c r="B85" s="5"/>
      <c r="D85" s="5"/>
      <c r="F85" s="5"/>
      <c r="H85" s="5"/>
      <c r="J85" s="5"/>
      <c r="L85" s="5"/>
    </row>
    <row r="86" spans="2:12" ht="18" customHeight="1">
      <c r="B86" s="5"/>
      <c r="D86" s="5"/>
      <c r="F86" s="5"/>
      <c r="H86" s="5"/>
      <c r="J86" s="5"/>
      <c r="L86" s="5"/>
    </row>
    <row r="87" spans="2:12" ht="18" customHeight="1">
      <c r="B87" s="5"/>
      <c r="D87" s="5"/>
      <c r="F87" s="5"/>
      <c r="H87" s="5"/>
      <c r="J87" s="5"/>
      <c r="L87" s="5"/>
    </row>
    <row r="88" spans="2:12" ht="18" customHeight="1">
      <c r="B88" s="5"/>
      <c r="D88" s="5"/>
      <c r="F88" s="5"/>
      <c r="H88" s="5"/>
      <c r="J88" s="5"/>
      <c r="L88" s="5"/>
    </row>
    <row r="89" spans="2:12" ht="18" customHeight="1">
      <c r="B89" s="5"/>
      <c r="D89" s="5"/>
      <c r="F89" s="5"/>
      <c r="H89" s="5"/>
      <c r="J89" s="5"/>
      <c r="L89" s="5"/>
    </row>
    <row r="90" spans="2:12" ht="18" customHeight="1">
      <c r="B90" s="5"/>
      <c r="D90" s="5"/>
      <c r="F90" s="5"/>
      <c r="H90" s="5"/>
      <c r="J90" s="5"/>
      <c r="L90" s="5"/>
    </row>
    <row r="91" spans="2:12" ht="18" customHeight="1">
      <c r="B91" s="5"/>
      <c r="D91" s="5"/>
      <c r="F91" s="5"/>
      <c r="H91" s="5"/>
      <c r="J91" s="5"/>
      <c r="L91" s="5"/>
    </row>
    <row r="92" spans="2:12" ht="18" customHeight="1">
      <c r="B92" s="5"/>
      <c r="D92" s="5"/>
      <c r="F92" s="5"/>
      <c r="H92" s="5"/>
      <c r="J92" s="5"/>
      <c r="L92" s="5"/>
    </row>
    <row r="93" spans="2:12" ht="18" customHeight="1">
      <c r="B93" s="5"/>
      <c r="D93" s="5"/>
      <c r="F93" s="5"/>
      <c r="H93" s="5"/>
      <c r="J93" s="5"/>
      <c r="L93" s="5"/>
    </row>
    <row r="94" spans="2:12" ht="18" customHeight="1">
      <c r="B94" s="5"/>
      <c r="D94" s="5"/>
      <c r="F94" s="5"/>
      <c r="H94" s="5"/>
      <c r="J94" s="5"/>
      <c r="L94" s="5"/>
    </row>
    <row r="95" spans="2:12" ht="18" customHeight="1">
      <c r="B95" s="5"/>
      <c r="D95" s="5"/>
      <c r="F95" s="5"/>
      <c r="H95" s="5"/>
      <c r="J95" s="5"/>
      <c r="L95" s="5"/>
    </row>
    <row r="96" spans="2:12" ht="18" customHeight="1">
      <c r="B96" s="5"/>
      <c r="D96" s="5"/>
      <c r="F96" s="5"/>
      <c r="H96" s="5"/>
      <c r="J96" s="5"/>
      <c r="L96" s="5"/>
    </row>
    <row r="97" spans="2:12" ht="18" customHeight="1">
      <c r="B97" s="5"/>
      <c r="D97" s="5"/>
      <c r="F97" s="5"/>
      <c r="H97" s="5"/>
      <c r="J97" s="5"/>
      <c r="L97" s="5"/>
    </row>
    <row r="98" spans="2:12" ht="18" customHeight="1">
      <c r="B98" s="5"/>
      <c r="D98" s="5"/>
      <c r="F98" s="5"/>
      <c r="H98" s="5"/>
      <c r="J98" s="5"/>
      <c r="L98" s="5"/>
    </row>
    <row r="99" spans="2:12" ht="18" customHeight="1">
      <c r="B99" s="5"/>
      <c r="D99" s="5"/>
      <c r="F99" s="5"/>
      <c r="H99" s="5"/>
      <c r="J99" s="5"/>
      <c r="L99" s="5"/>
    </row>
    <row r="100" spans="2:12" ht="18" customHeight="1">
      <c r="B100" s="5"/>
      <c r="D100" s="5"/>
      <c r="F100" s="5"/>
      <c r="H100" s="5"/>
      <c r="J100" s="5"/>
      <c r="L100" s="5"/>
    </row>
    <row r="101" spans="2:12" ht="18" customHeight="1">
      <c r="B101" s="5"/>
      <c r="D101" s="5"/>
      <c r="F101" s="5"/>
      <c r="H101" s="5"/>
      <c r="J101" s="5"/>
      <c r="L101" s="5"/>
    </row>
    <row r="102" spans="2:12" ht="18" customHeight="1">
      <c r="B102" s="5"/>
      <c r="D102" s="5"/>
      <c r="F102" s="5"/>
      <c r="H102" s="5"/>
      <c r="J102" s="5"/>
      <c r="L102" s="5"/>
    </row>
    <row r="103" spans="2:12" ht="18" customHeight="1">
      <c r="B103" s="5"/>
      <c r="D103" s="5"/>
      <c r="F103" s="5"/>
      <c r="H103" s="5"/>
      <c r="J103" s="5"/>
      <c r="L103" s="5"/>
    </row>
    <row r="104" spans="2:12" ht="18" customHeight="1">
      <c r="B104" s="5"/>
      <c r="D104" s="5"/>
      <c r="F104" s="5"/>
      <c r="H104" s="5"/>
      <c r="J104" s="5"/>
      <c r="L104" s="5"/>
    </row>
    <row r="105" spans="2:12" ht="18" customHeight="1">
      <c r="B105" s="5"/>
      <c r="D105" s="5"/>
      <c r="F105" s="5"/>
      <c r="H105" s="5"/>
      <c r="J105" s="5"/>
      <c r="L105" s="5"/>
    </row>
    <row r="106" spans="2:12" ht="18" customHeight="1">
      <c r="B106" s="5"/>
      <c r="D106" s="5"/>
      <c r="F106" s="5"/>
      <c r="H106" s="5"/>
      <c r="J106" s="5"/>
      <c r="L106" s="5"/>
    </row>
    <row r="107" spans="2:12" ht="18" customHeight="1">
      <c r="B107" s="5"/>
      <c r="D107" s="5"/>
      <c r="F107" s="5"/>
      <c r="H107" s="5"/>
      <c r="J107" s="5"/>
      <c r="L107" s="5"/>
    </row>
    <row r="108" spans="2:12" ht="18" customHeight="1">
      <c r="B108" s="5"/>
      <c r="D108" s="5"/>
      <c r="F108" s="5"/>
      <c r="H108" s="5"/>
      <c r="J108" s="5"/>
      <c r="L108" s="5"/>
    </row>
    <row r="109" spans="2:12" ht="18" customHeight="1">
      <c r="B109" s="5"/>
      <c r="D109" s="5"/>
      <c r="F109" s="5"/>
      <c r="H109" s="5"/>
      <c r="J109" s="5"/>
      <c r="L109" s="5"/>
    </row>
    <row r="110" spans="2:12" ht="18" customHeight="1">
      <c r="B110" s="5"/>
      <c r="D110" s="5"/>
      <c r="F110" s="5"/>
      <c r="H110" s="5"/>
      <c r="J110" s="5"/>
      <c r="L110" s="5"/>
    </row>
    <row r="111" spans="2:12" ht="18" customHeight="1">
      <c r="B111" s="5"/>
      <c r="D111" s="5"/>
      <c r="F111" s="5"/>
      <c r="H111" s="5"/>
      <c r="J111" s="5"/>
      <c r="L111" s="5"/>
    </row>
    <row r="112" spans="2:12" ht="18" customHeight="1">
      <c r="B112" s="5"/>
      <c r="D112" s="5"/>
      <c r="F112" s="5"/>
      <c r="H112" s="5"/>
      <c r="J112" s="5"/>
      <c r="L112" s="5"/>
    </row>
    <row r="113" spans="2:12" ht="18" customHeight="1">
      <c r="B113" s="5"/>
      <c r="D113" s="5"/>
      <c r="F113" s="5"/>
      <c r="H113" s="5"/>
      <c r="J113" s="5"/>
      <c r="L113" s="5"/>
    </row>
    <row r="114" spans="2:12" ht="18" customHeight="1">
      <c r="B114" s="5"/>
      <c r="D114" s="5"/>
      <c r="F114" s="5"/>
      <c r="H114" s="5"/>
      <c r="J114" s="5"/>
      <c r="L114" s="5"/>
    </row>
    <row r="115" spans="2:12" ht="18" customHeight="1">
      <c r="B115" s="5"/>
      <c r="D115" s="5"/>
      <c r="F115" s="5"/>
      <c r="H115" s="5"/>
      <c r="J115" s="5"/>
      <c r="L115" s="5"/>
    </row>
    <row r="116" spans="2:12" ht="18" customHeight="1">
      <c r="B116" s="5"/>
      <c r="D116" s="5"/>
      <c r="F116" s="5"/>
      <c r="H116" s="5"/>
      <c r="J116" s="5"/>
      <c r="L116" s="5"/>
    </row>
    <row r="117" spans="2:12" ht="18" customHeight="1">
      <c r="B117" s="5"/>
      <c r="D117" s="5"/>
      <c r="F117" s="5"/>
      <c r="H117" s="5"/>
      <c r="J117" s="5"/>
      <c r="L117" s="5"/>
    </row>
    <row r="118" spans="2:12" ht="18" customHeight="1">
      <c r="B118" s="5"/>
      <c r="D118" s="5"/>
      <c r="F118" s="5"/>
      <c r="H118" s="5"/>
      <c r="J118" s="5"/>
      <c r="L118" s="5"/>
    </row>
    <row r="119" spans="2:12" ht="18" customHeight="1">
      <c r="B119" s="5"/>
      <c r="D119" s="5"/>
      <c r="F119" s="5"/>
      <c r="H119" s="5"/>
      <c r="J119" s="5"/>
      <c r="L119" s="5"/>
    </row>
    <row r="120" spans="2:12" ht="18" customHeight="1">
      <c r="B120" s="5"/>
      <c r="D120" s="5"/>
      <c r="F120" s="5"/>
      <c r="H120" s="5"/>
      <c r="J120" s="5"/>
      <c r="L120" s="5"/>
    </row>
    <row r="121" spans="2:12" ht="18" customHeight="1">
      <c r="B121" s="5"/>
      <c r="D121" s="5"/>
      <c r="F121" s="5"/>
      <c r="H121" s="5"/>
      <c r="J121" s="5"/>
      <c r="L121" s="5"/>
    </row>
    <row r="122" spans="2:12" ht="18" customHeight="1">
      <c r="B122" s="5"/>
      <c r="D122" s="5"/>
      <c r="F122" s="5"/>
      <c r="H122" s="5"/>
      <c r="J122" s="5"/>
      <c r="L122" s="5"/>
    </row>
    <row r="123" spans="2:12" ht="18" customHeight="1">
      <c r="B123" s="5"/>
      <c r="D123" s="5"/>
      <c r="F123" s="5"/>
      <c r="H123" s="5"/>
      <c r="J123" s="5"/>
      <c r="L123" s="5"/>
    </row>
    <row r="124" spans="2:12" ht="18" customHeight="1">
      <c r="B124" s="5"/>
      <c r="D124" s="5"/>
      <c r="F124" s="5"/>
      <c r="H124" s="5"/>
      <c r="J124" s="5"/>
      <c r="L124" s="5"/>
    </row>
    <row r="125" spans="2:12" ht="18" customHeight="1">
      <c r="B125" s="5"/>
      <c r="D125" s="5"/>
      <c r="F125" s="5"/>
      <c r="H125" s="5"/>
      <c r="J125" s="5"/>
      <c r="L125" s="5"/>
    </row>
    <row r="126" spans="2:12" ht="18" customHeight="1">
      <c r="B126" s="5"/>
      <c r="D126" s="5"/>
      <c r="F126" s="5"/>
      <c r="H126" s="5"/>
      <c r="J126" s="5"/>
      <c r="L126" s="5"/>
    </row>
    <row r="127" spans="2:12" ht="18" customHeight="1">
      <c r="B127" s="5"/>
      <c r="D127" s="5"/>
      <c r="F127" s="5"/>
      <c r="H127" s="5"/>
      <c r="J127" s="5"/>
      <c r="L127" s="5"/>
    </row>
    <row r="128" spans="2:12" ht="18" customHeight="1">
      <c r="B128" s="5"/>
      <c r="D128" s="5"/>
      <c r="F128" s="5"/>
      <c r="H128" s="5"/>
      <c r="J128" s="5"/>
      <c r="L128" s="5"/>
    </row>
    <row r="129" spans="2:12" ht="18" customHeight="1">
      <c r="B129" s="5"/>
      <c r="D129" s="5"/>
      <c r="F129" s="5"/>
      <c r="H129" s="5"/>
      <c r="J129" s="5"/>
      <c r="L129" s="5"/>
    </row>
    <row r="130" spans="2:12" ht="18" customHeight="1">
      <c r="B130" s="5"/>
      <c r="D130" s="5"/>
      <c r="F130" s="5"/>
      <c r="H130" s="5"/>
      <c r="J130" s="5"/>
      <c r="L130" s="5"/>
    </row>
    <row r="131" spans="2:12" ht="18" customHeight="1">
      <c r="B131" s="5"/>
      <c r="D131" s="5"/>
      <c r="F131" s="5"/>
      <c r="H131" s="5"/>
      <c r="J131" s="5"/>
      <c r="L131" s="5"/>
    </row>
    <row r="132" spans="2:12" ht="18" customHeight="1">
      <c r="B132" s="5"/>
      <c r="D132" s="5"/>
      <c r="F132" s="5"/>
      <c r="H132" s="5"/>
      <c r="J132" s="5"/>
      <c r="L132" s="5"/>
    </row>
    <row r="133" spans="2:12" ht="18" customHeight="1">
      <c r="B133" s="5"/>
      <c r="D133" s="5"/>
      <c r="F133" s="5"/>
      <c r="H133" s="5"/>
      <c r="J133" s="5"/>
      <c r="L133" s="5"/>
    </row>
    <row r="134" spans="2:12" ht="18" customHeight="1">
      <c r="B134" s="5"/>
      <c r="D134" s="5"/>
      <c r="F134" s="5"/>
      <c r="H134" s="5"/>
      <c r="J134" s="5"/>
      <c r="L134" s="5"/>
    </row>
    <row r="135" spans="2:12" ht="18" customHeight="1">
      <c r="B135" s="5"/>
      <c r="D135" s="5"/>
      <c r="F135" s="5"/>
      <c r="H135" s="5"/>
      <c r="J135" s="5"/>
      <c r="L135" s="5"/>
    </row>
    <row r="136" spans="2:12" ht="18" customHeight="1">
      <c r="B136" s="5"/>
      <c r="D136" s="5"/>
      <c r="F136" s="5"/>
      <c r="H136" s="5"/>
      <c r="J136" s="5"/>
      <c r="L136" s="5"/>
    </row>
    <row r="137" spans="2:12" ht="18" customHeight="1">
      <c r="B137" s="5"/>
      <c r="D137" s="5"/>
      <c r="F137" s="5"/>
      <c r="H137" s="5"/>
      <c r="J137" s="5"/>
      <c r="L137" s="5"/>
    </row>
    <row r="138" spans="2:12" ht="18" customHeight="1">
      <c r="B138" s="5"/>
      <c r="D138" s="5"/>
      <c r="F138" s="5"/>
      <c r="H138" s="5"/>
      <c r="J138" s="5"/>
      <c r="L138" s="5"/>
    </row>
    <row r="139" spans="2:12" ht="18" customHeight="1">
      <c r="B139" s="5"/>
      <c r="D139" s="5"/>
      <c r="F139" s="5"/>
      <c r="H139" s="5"/>
      <c r="J139" s="5"/>
      <c r="L139" s="5"/>
    </row>
    <row r="140" spans="2:12" ht="18" customHeight="1">
      <c r="B140" s="5"/>
      <c r="D140" s="5"/>
      <c r="F140" s="5"/>
      <c r="H140" s="5"/>
      <c r="J140" s="5"/>
      <c r="L140" s="5"/>
    </row>
    <row r="141" spans="2:12" ht="18" customHeight="1">
      <c r="B141" s="5"/>
      <c r="D141" s="5"/>
      <c r="F141" s="5"/>
      <c r="H141" s="5"/>
      <c r="J141" s="5"/>
      <c r="L141" s="5"/>
    </row>
    <row r="142" spans="2:12" ht="18" customHeight="1">
      <c r="B142" s="5"/>
      <c r="D142" s="5"/>
      <c r="F142" s="5"/>
      <c r="H142" s="5"/>
      <c r="J142" s="5"/>
      <c r="L142" s="5"/>
    </row>
    <row r="143" spans="2:12" ht="18" customHeight="1">
      <c r="B143" s="5"/>
      <c r="D143" s="5"/>
      <c r="F143" s="5"/>
      <c r="H143" s="5"/>
      <c r="J143" s="5"/>
      <c r="L143" s="5"/>
    </row>
    <row r="144" spans="2:12" ht="18" customHeight="1">
      <c r="B144" s="5"/>
      <c r="D144" s="5"/>
      <c r="F144" s="5"/>
      <c r="H144" s="5"/>
      <c r="J144" s="5"/>
      <c r="L144" s="5"/>
    </row>
    <row r="145" spans="2:12" ht="18" customHeight="1">
      <c r="B145" s="5"/>
      <c r="D145" s="5"/>
      <c r="F145" s="5"/>
      <c r="H145" s="5"/>
      <c r="J145" s="5"/>
      <c r="L145" s="5"/>
    </row>
    <row r="146" spans="2:12" ht="18" customHeight="1">
      <c r="B146" s="5"/>
      <c r="D146" s="5"/>
      <c r="F146" s="5"/>
      <c r="H146" s="5"/>
      <c r="J146" s="5"/>
      <c r="L146" s="5"/>
    </row>
    <row r="147" spans="2:12" ht="18" customHeight="1">
      <c r="B147" s="5"/>
      <c r="D147" s="5"/>
      <c r="F147" s="5"/>
      <c r="H147" s="5"/>
      <c r="J147" s="5"/>
      <c r="L147" s="5"/>
    </row>
    <row r="148" spans="2:12" ht="18" customHeight="1">
      <c r="B148" s="5"/>
      <c r="D148" s="5"/>
      <c r="F148" s="5"/>
      <c r="H148" s="5"/>
      <c r="J148" s="5"/>
      <c r="L148" s="5"/>
    </row>
    <row r="149" spans="2:12" ht="18" customHeight="1">
      <c r="B149" s="5"/>
      <c r="D149" s="5"/>
      <c r="F149" s="5"/>
      <c r="H149" s="5"/>
      <c r="J149" s="5"/>
      <c r="L149" s="5"/>
    </row>
    <row r="150" spans="2:12" ht="18" customHeight="1">
      <c r="B150" s="5"/>
      <c r="D150" s="5"/>
      <c r="F150" s="5"/>
      <c r="H150" s="5"/>
      <c r="J150" s="5"/>
      <c r="L150" s="5"/>
    </row>
    <row r="151" spans="2:12" ht="18" customHeight="1">
      <c r="B151" s="5"/>
      <c r="D151" s="5"/>
      <c r="F151" s="5"/>
      <c r="H151" s="5"/>
      <c r="J151" s="5"/>
      <c r="L151" s="5"/>
    </row>
    <row r="152" spans="2:12" ht="18" customHeight="1">
      <c r="B152" s="5"/>
      <c r="D152" s="5"/>
      <c r="F152" s="5"/>
      <c r="H152" s="5"/>
      <c r="J152" s="5"/>
      <c r="L152" s="5"/>
    </row>
    <row r="153" spans="2:12" ht="18" customHeight="1">
      <c r="B153" s="5"/>
      <c r="D153" s="5"/>
      <c r="F153" s="5"/>
      <c r="H153" s="5"/>
      <c r="J153" s="5"/>
      <c r="L153" s="5"/>
    </row>
    <row r="154" spans="2:12" ht="18" customHeight="1">
      <c r="B154" s="5"/>
      <c r="D154" s="5"/>
      <c r="F154" s="5"/>
      <c r="H154" s="5"/>
      <c r="J154" s="5"/>
      <c r="L154" s="5"/>
    </row>
    <row r="155" spans="2:12" ht="18" customHeight="1">
      <c r="B155" s="5"/>
      <c r="D155" s="5"/>
      <c r="F155" s="5"/>
      <c r="H155" s="5"/>
      <c r="J155" s="5"/>
      <c r="L155" s="5"/>
    </row>
    <row r="156" spans="2:12" ht="18" customHeight="1">
      <c r="B156" s="5"/>
      <c r="D156" s="5"/>
      <c r="F156" s="5"/>
      <c r="H156" s="5"/>
      <c r="J156" s="5"/>
      <c r="L156" s="5"/>
    </row>
    <row r="157" spans="2:12" ht="18" customHeight="1">
      <c r="B157" s="5"/>
      <c r="D157" s="5"/>
      <c r="F157" s="5"/>
      <c r="H157" s="5"/>
      <c r="J157" s="5"/>
      <c r="L157" s="5"/>
    </row>
    <row r="158" spans="2:12" ht="18" customHeight="1">
      <c r="B158" s="5"/>
      <c r="D158" s="5"/>
      <c r="F158" s="5"/>
      <c r="H158" s="5"/>
      <c r="J158" s="5"/>
      <c r="L158" s="5"/>
    </row>
    <row r="159" spans="2:12" ht="18" customHeight="1">
      <c r="B159" s="5"/>
      <c r="D159" s="5"/>
      <c r="F159" s="5"/>
      <c r="H159" s="5"/>
      <c r="J159" s="5"/>
      <c r="L159" s="5"/>
    </row>
    <row r="160" spans="2:12" ht="18" customHeight="1">
      <c r="B160" s="5"/>
      <c r="D160" s="5"/>
      <c r="F160" s="5"/>
      <c r="H160" s="5"/>
      <c r="J160" s="5"/>
      <c r="L160" s="5"/>
    </row>
    <row r="161" spans="2:12" ht="18" customHeight="1">
      <c r="B161" s="5"/>
      <c r="D161" s="5"/>
      <c r="F161" s="5"/>
      <c r="H161" s="5"/>
      <c r="J161" s="5"/>
      <c r="L161" s="5"/>
    </row>
    <row r="162" spans="2:12" ht="18" customHeight="1">
      <c r="B162" s="5"/>
      <c r="D162" s="5"/>
      <c r="F162" s="5"/>
      <c r="H162" s="5"/>
      <c r="J162" s="5"/>
      <c r="L162" s="5"/>
    </row>
    <row r="163" spans="2:12" ht="18" customHeight="1">
      <c r="B163" s="5"/>
      <c r="D163" s="5"/>
      <c r="F163" s="5"/>
      <c r="H163" s="5"/>
      <c r="J163" s="5"/>
      <c r="L163" s="5"/>
    </row>
    <row r="164" spans="2:12" ht="18" customHeight="1">
      <c r="B164" s="5"/>
      <c r="D164" s="5"/>
      <c r="F164" s="5"/>
      <c r="H164" s="5"/>
      <c r="J164" s="5"/>
      <c r="L164" s="5"/>
    </row>
    <row r="165" spans="2:12" ht="18" customHeight="1">
      <c r="B165" s="5"/>
      <c r="D165" s="5"/>
      <c r="F165" s="5"/>
      <c r="H165" s="5"/>
      <c r="J165" s="5"/>
      <c r="L165" s="5"/>
    </row>
    <row r="166" spans="2:12" ht="18" customHeight="1">
      <c r="B166" s="5"/>
      <c r="D166" s="5"/>
      <c r="F166" s="5"/>
      <c r="H166" s="5"/>
      <c r="J166" s="5"/>
      <c r="L166" s="5"/>
    </row>
    <row r="167" spans="2:12" ht="18" customHeight="1">
      <c r="B167" s="5"/>
      <c r="D167" s="5"/>
      <c r="F167" s="5"/>
      <c r="H167" s="5"/>
      <c r="J167" s="5"/>
      <c r="L167" s="5"/>
    </row>
    <row r="168" spans="2:12" ht="18" customHeight="1">
      <c r="B168" s="5"/>
      <c r="D168" s="5"/>
      <c r="F168" s="5"/>
      <c r="H168" s="5"/>
      <c r="J168" s="5"/>
      <c r="L168" s="5"/>
    </row>
    <row r="169" spans="2:12" ht="18" customHeight="1">
      <c r="B169" s="5"/>
      <c r="D169" s="5"/>
      <c r="F169" s="5"/>
      <c r="H169" s="5"/>
      <c r="J169" s="5"/>
      <c r="L169" s="5"/>
    </row>
    <row r="170" spans="2:12" ht="18" customHeight="1">
      <c r="B170" s="5"/>
      <c r="D170" s="5"/>
      <c r="F170" s="5"/>
      <c r="H170" s="5"/>
      <c r="J170" s="5"/>
      <c r="L170" s="5"/>
    </row>
    <row r="171" spans="2:12" ht="18" customHeight="1">
      <c r="B171" s="5"/>
      <c r="D171" s="5"/>
      <c r="F171" s="5"/>
      <c r="H171" s="5"/>
      <c r="J171" s="5"/>
      <c r="L171" s="5"/>
    </row>
    <row r="172" spans="2:12" ht="18" customHeight="1">
      <c r="B172" s="5"/>
      <c r="D172" s="5"/>
      <c r="F172" s="5"/>
      <c r="H172" s="5"/>
      <c r="J172" s="5"/>
      <c r="L172" s="5"/>
    </row>
    <row r="173" spans="2:12" ht="18" customHeight="1">
      <c r="B173" s="5"/>
      <c r="D173" s="5"/>
      <c r="F173" s="5"/>
      <c r="H173" s="5"/>
      <c r="J173" s="5"/>
      <c r="L173" s="5"/>
    </row>
    <row r="174" spans="2:12" ht="18" customHeight="1">
      <c r="B174" s="5"/>
      <c r="D174" s="5"/>
      <c r="F174" s="5"/>
      <c r="H174" s="5"/>
      <c r="J174" s="5"/>
      <c r="L174" s="5"/>
    </row>
    <row r="175" spans="2:12" ht="18" customHeight="1">
      <c r="B175" s="5"/>
      <c r="D175" s="5"/>
      <c r="F175" s="5"/>
      <c r="H175" s="5"/>
      <c r="J175" s="5"/>
      <c r="L175" s="5"/>
    </row>
    <row r="176" spans="2:12" ht="18" customHeight="1">
      <c r="B176" s="5"/>
      <c r="D176" s="5"/>
      <c r="F176" s="5"/>
      <c r="H176" s="5"/>
      <c r="J176" s="5"/>
      <c r="L176" s="5"/>
    </row>
    <row r="177" spans="2:12" ht="18" customHeight="1">
      <c r="B177" s="5"/>
      <c r="D177" s="5"/>
      <c r="F177" s="5"/>
      <c r="H177" s="5"/>
      <c r="J177" s="5"/>
      <c r="L177" s="5"/>
    </row>
    <row r="178" spans="2:12" ht="18" customHeight="1">
      <c r="B178" s="5"/>
      <c r="D178" s="5"/>
      <c r="F178" s="5"/>
      <c r="H178" s="5"/>
      <c r="J178" s="5"/>
      <c r="L178" s="5"/>
    </row>
    <row r="179" spans="2:12" ht="18" customHeight="1">
      <c r="B179" s="5"/>
      <c r="D179" s="5"/>
      <c r="F179" s="5"/>
      <c r="H179" s="5"/>
      <c r="J179" s="5"/>
      <c r="L179" s="5"/>
    </row>
    <row r="180" spans="2:12" ht="18" customHeight="1">
      <c r="B180" s="5"/>
      <c r="D180" s="5"/>
      <c r="F180" s="5"/>
      <c r="H180" s="5"/>
      <c r="J180" s="5"/>
      <c r="L180" s="5"/>
    </row>
    <row r="181" spans="2:12" ht="18" customHeight="1">
      <c r="B181" s="5"/>
      <c r="D181" s="5"/>
      <c r="F181" s="5"/>
      <c r="H181" s="5"/>
      <c r="J181" s="5"/>
      <c r="L181" s="5"/>
    </row>
    <row r="182" spans="2:12" ht="18" customHeight="1">
      <c r="B182" s="5"/>
      <c r="D182" s="5"/>
      <c r="F182" s="5"/>
      <c r="H182" s="5"/>
      <c r="J182" s="5"/>
      <c r="L182" s="5"/>
    </row>
    <row r="183" spans="2:12" ht="18" customHeight="1">
      <c r="B183" s="5"/>
      <c r="D183" s="5"/>
      <c r="F183" s="5"/>
      <c r="H183" s="5"/>
      <c r="J183" s="5"/>
      <c r="L183" s="5"/>
    </row>
    <row r="184" spans="2:12" ht="18" customHeight="1">
      <c r="B184" s="5"/>
      <c r="D184" s="5"/>
      <c r="F184" s="5"/>
      <c r="H184" s="5"/>
      <c r="J184" s="5"/>
      <c r="L184" s="5"/>
    </row>
    <row r="185" spans="2:12" ht="18" customHeight="1">
      <c r="B185" s="5"/>
      <c r="D185" s="5"/>
      <c r="F185" s="5"/>
      <c r="H185" s="5"/>
      <c r="J185" s="5"/>
      <c r="L185" s="5"/>
    </row>
    <row r="186" spans="2:12" ht="18" customHeight="1">
      <c r="B186" s="5"/>
      <c r="D186" s="5"/>
      <c r="F186" s="5"/>
      <c r="H186" s="5"/>
      <c r="J186" s="5"/>
      <c r="L186" s="5"/>
    </row>
    <row r="187" spans="2:12" ht="18" customHeight="1">
      <c r="B187" s="5"/>
      <c r="D187" s="5"/>
      <c r="F187" s="5"/>
      <c r="H187" s="5"/>
      <c r="J187" s="5"/>
      <c r="L187" s="5"/>
    </row>
    <row r="188" spans="2:12" ht="18" customHeight="1">
      <c r="B188" s="5"/>
      <c r="D188" s="5"/>
      <c r="F188" s="5"/>
      <c r="H188" s="5"/>
      <c r="J188" s="5"/>
      <c r="L188" s="5"/>
    </row>
    <row r="189" spans="2:12" ht="18" customHeight="1">
      <c r="B189" s="5"/>
      <c r="D189" s="5"/>
      <c r="F189" s="5"/>
      <c r="H189" s="5"/>
      <c r="J189" s="5"/>
      <c r="L189" s="5"/>
    </row>
    <row r="190" spans="2:12" ht="18" customHeight="1">
      <c r="B190" s="5"/>
      <c r="D190" s="5"/>
      <c r="F190" s="5"/>
      <c r="H190" s="5"/>
      <c r="J190" s="5"/>
      <c r="L190" s="5"/>
    </row>
    <row r="191" spans="2:12" ht="18" customHeight="1">
      <c r="B191" s="5"/>
      <c r="D191" s="5"/>
      <c r="F191" s="5"/>
      <c r="H191" s="5"/>
      <c r="J191" s="5"/>
      <c r="L191" s="5"/>
    </row>
    <row r="192" spans="2:12" ht="18" customHeight="1">
      <c r="B192" s="5"/>
      <c r="D192" s="5"/>
      <c r="F192" s="5"/>
      <c r="H192" s="5"/>
      <c r="J192" s="5"/>
      <c r="L192" s="5"/>
    </row>
    <row r="193" spans="2:12" ht="18" customHeight="1">
      <c r="B193" s="5"/>
      <c r="D193" s="5"/>
      <c r="F193" s="5"/>
      <c r="H193" s="5"/>
      <c r="J193" s="5"/>
      <c r="L193" s="5"/>
    </row>
    <row r="194" spans="2:12" ht="18" customHeight="1">
      <c r="B194" s="5"/>
      <c r="D194" s="5"/>
      <c r="F194" s="5"/>
      <c r="H194" s="5"/>
      <c r="J194" s="5"/>
      <c r="L194" s="5"/>
    </row>
    <row r="195" spans="2:12" ht="18" customHeight="1">
      <c r="B195" s="5"/>
      <c r="D195" s="5"/>
      <c r="F195" s="5"/>
      <c r="H195" s="5"/>
      <c r="J195" s="5"/>
      <c r="L195" s="5"/>
    </row>
    <row r="196" spans="2:12" ht="18" customHeight="1">
      <c r="B196" s="5"/>
      <c r="D196" s="5"/>
      <c r="F196" s="5"/>
      <c r="H196" s="5"/>
      <c r="J196" s="5"/>
      <c r="L196" s="5"/>
    </row>
    <row r="197" spans="2:12" ht="18" customHeight="1">
      <c r="B197" s="5"/>
      <c r="D197" s="5"/>
      <c r="F197" s="5"/>
      <c r="H197" s="5"/>
      <c r="J197" s="5"/>
      <c r="L197" s="5"/>
    </row>
    <row r="198" spans="2:12" ht="18" customHeight="1">
      <c r="B198" s="5"/>
      <c r="D198" s="5"/>
      <c r="F198" s="5"/>
      <c r="H198" s="5"/>
      <c r="J198" s="5"/>
      <c r="L198" s="5"/>
    </row>
    <row r="199" spans="2:12" ht="18" customHeight="1">
      <c r="B199" s="5"/>
      <c r="D199" s="5"/>
      <c r="F199" s="5"/>
      <c r="H199" s="5"/>
      <c r="J199" s="5"/>
      <c r="L199" s="5"/>
    </row>
    <row r="200" spans="2:12" ht="18" customHeight="1">
      <c r="B200" s="5"/>
      <c r="D200" s="5"/>
      <c r="F200" s="5"/>
      <c r="H200" s="5"/>
      <c r="J200" s="5"/>
      <c r="L200" s="5"/>
    </row>
    <row r="201" spans="2:12" ht="18" customHeight="1">
      <c r="B201" s="5"/>
      <c r="D201" s="5"/>
      <c r="F201" s="5"/>
      <c r="H201" s="5"/>
      <c r="J201" s="5"/>
      <c r="L201" s="5"/>
    </row>
    <row r="202" spans="2:12" ht="18" customHeight="1">
      <c r="B202" s="5"/>
      <c r="D202" s="5"/>
      <c r="F202" s="5"/>
      <c r="H202" s="5"/>
      <c r="J202" s="5"/>
      <c r="L202" s="5"/>
    </row>
    <row r="203" spans="2:12" ht="18" customHeight="1">
      <c r="B203" s="5"/>
      <c r="D203" s="5"/>
      <c r="F203" s="5"/>
      <c r="H203" s="5"/>
      <c r="J203" s="5"/>
      <c r="L203" s="5"/>
    </row>
    <row r="204" spans="2:12" ht="18" customHeight="1">
      <c r="B204" s="5"/>
      <c r="D204" s="5"/>
      <c r="F204" s="5"/>
      <c r="H204" s="5"/>
      <c r="J204" s="5"/>
      <c r="L204" s="5"/>
    </row>
    <row r="205" spans="2:12" ht="18" customHeight="1">
      <c r="B205" s="5"/>
      <c r="D205" s="5"/>
      <c r="F205" s="5"/>
      <c r="H205" s="5"/>
      <c r="J205" s="5"/>
      <c r="L205" s="5"/>
    </row>
    <row r="206" spans="2:12" ht="18" customHeight="1">
      <c r="B206" s="5"/>
      <c r="D206" s="5"/>
      <c r="F206" s="5"/>
      <c r="H206" s="5"/>
      <c r="J206" s="5"/>
      <c r="L206" s="5"/>
    </row>
    <row r="207" spans="2:12" ht="18" customHeight="1">
      <c r="B207" s="5"/>
      <c r="D207" s="5"/>
      <c r="F207" s="5"/>
      <c r="H207" s="5"/>
      <c r="J207" s="5"/>
      <c r="L207" s="5"/>
    </row>
    <row r="208" spans="2:12" ht="18" customHeight="1">
      <c r="B208" s="5"/>
      <c r="D208" s="5"/>
      <c r="F208" s="5"/>
      <c r="H208" s="5"/>
      <c r="J208" s="5"/>
      <c r="L208" s="5"/>
    </row>
    <row r="209" spans="2:12" ht="18" customHeight="1">
      <c r="B209" s="5"/>
      <c r="D209" s="5"/>
      <c r="F209" s="5"/>
      <c r="H209" s="5"/>
      <c r="J209" s="5"/>
      <c r="L209" s="5"/>
    </row>
    <row r="210" spans="2:12" ht="18" customHeight="1">
      <c r="B210" s="5"/>
      <c r="D210" s="5"/>
      <c r="F210" s="5"/>
      <c r="H210" s="5"/>
      <c r="J210" s="5"/>
      <c r="L210" s="5"/>
    </row>
    <row r="211" spans="2:12" ht="18" customHeight="1">
      <c r="B211" s="5"/>
      <c r="D211" s="5"/>
      <c r="F211" s="5"/>
      <c r="H211" s="5"/>
      <c r="J211" s="5"/>
      <c r="L211" s="5"/>
    </row>
    <row r="212" spans="2:12" ht="18" customHeight="1">
      <c r="B212" s="5"/>
      <c r="D212" s="5"/>
      <c r="F212" s="5"/>
      <c r="H212" s="5"/>
      <c r="J212" s="5"/>
      <c r="L212" s="5"/>
    </row>
    <row r="213" spans="2:12" ht="18" customHeight="1">
      <c r="B213" s="5"/>
      <c r="D213" s="5"/>
      <c r="F213" s="5"/>
      <c r="H213" s="5"/>
      <c r="J213" s="5"/>
      <c r="L213" s="5"/>
    </row>
    <row r="214" spans="2:12" ht="18" customHeight="1">
      <c r="B214" s="5"/>
      <c r="D214" s="5"/>
      <c r="F214" s="5"/>
      <c r="H214" s="5"/>
      <c r="J214" s="5"/>
      <c r="L214" s="5"/>
    </row>
    <row r="215" spans="2:12" ht="18" customHeight="1">
      <c r="B215" s="5"/>
      <c r="D215" s="5"/>
      <c r="F215" s="5"/>
      <c r="H215" s="5"/>
      <c r="J215" s="5"/>
      <c r="L215" s="5"/>
    </row>
    <row r="216" spans="2:12" ht="18" customHeight="1">
      <c r="B216" s="5"/>
      <c r="D216" s="5"/>
      <c r="F216" s="5"/>
      <c r="H216" s="5"/>
      <c r="J216" s="5"/>
      <c r="L216" s="5"/>
    </row>
    <row r="217" spans="2:12" ht="18" customHeight="1">
      <c r="B217" s="5"/>
      <c r="D217" s="5"/>
      <c r="F217" s="5"/>
      <c r="H217" s="5"/>
      <c r="J217" s="5"/>
      <c r="L217" s="5"/>
    </row>
    <row r="218" spans="2:12" ht="18" customHeight="1">
      <c r="B218" s="5"/>
      <c r="D218" s="5"/>
      <c r="F218" s="5"/>
      <c r="H218" s="5"/>
      <c r="J218" s="5"/>
      <c r="L218" s="5"/>
    </row>
    <row r="219" spans="2:12" ht="18" customHeight="1">
      <c r="B219" s="5"/>
      <c r="D219" s="5"/>
      <c r="F219" s="5"/>
      <c r="H219" s="5"/>
      <c r="J219" s="5"/>
      <c r="L219" s="5"/>
    </row>
    <row r="220" spans="2:12" ht="18" customHeight="1">
      <c r="B220" s="5"/>
      <c r="D220" s="5"/>
      <c r="F220" s="5"/>
      <c r="H220" s="5"/>
      <c r="J220" s="5"/>
      <c r="L220" s="5"/>
    </row>
    <row r="221" spans="2:12" ht="18" customHeight="1">
      <c r="B221" s="5"/>
      <c r="D221" s="5"/>
      <c r="F221" s="5"/>
      <c r="H221" s="5"/>
      <c r="J221" s="5"/>
      <c r="L221" s="5"/>
    </row>
    <row r="222" spans="2:12" ht="18" customHeight="1">
      <c r="B222" s="5"/>
      <c r="D222" s="5"/>
      <c r="F222" s="5"/>
      <c r="H222" s="5"/>
      <c r="J222" s="5"/>
      <c r="L222" s="5"/>
    </row>
    <row r="223" spans="2:12" ht="18" customHeight="1">
      <c r="B223" s="5"/>
      <c r="D223" s="5"/>
      <c r="F223" s="5"/>
      <c r="H223" s="5"/>
      <c r="J223" s="5"/>
      <c r="L223" s="5"/>
    </row>
    <row r="224" spans="2:12" ht="18" customHeight="1">
      <c r="B224" s="5"/>
      <c r="D224" s="5"/>
      <c r="F224" s="5"/>
      <c r="H224" s="5"/>
      <c r="J224" s="5"/>
      <c r="L224" s="5"/>
    </row>
    <row r="225" spans="2:12" ht="18" customHeight="1">
      <c r="B225" s="5"/>
      <c r="D225" s="5"/>
      <c r="F225" s="5"/>
      <c r="H225" s="5"/>
      <c r="J225" s="5"/>
      <c r="L225" s="5"/>
    </row>
    <row r="226" spans="2:12" ht="18" customHeight="1">
      <c r="B226" s="5"/>
      <c r="D226" s="5"/>
      <c r="F226" s="5"/>
      <c r="H226" s="5"/>
      <c r="J226" s="5"/>
      <c r="L226" s="5"/>
    </row>
    <row r="227" spans="2:12" ht="18" customHeight="1">
      <c r="B227" s="5"/>
      <c r="D227" s="5"/>
      <c r="F227" s="5"/>
      <c r="H227" s="5"/>
      <c r="J227" s="5"/>
      <c r="L227" s="5"/>
    </row>
    <row r="228" spans="2:12" ht="18" customHeight="1">
      <c r="B228" s="5"/>
      <c r="D228" s="5"/>
      <c r="F228" s="5"/>
      <c r="H228" s="5"/>
      <c r="J228" s="5"/>
      <c r="L228" s="5"/>
    </row>
    <row r="229" spans="2:12" ht="18" customHeight="1">
      <c r="B229" s="5"/>
      <c r="D229" s="5"/>
      <c r="F229" s="5"/>
      <c r="H229" s="5"/>
      <c r="J229" s="5"/>
      <c r="L229" s="5"/>
    </row>
    <row r="230" spans="2:12" ht="18" customHeight="1">
      <c r="B230" s="5"/>
      <c r="D230" s="5"/>
      <c r="F230" s="5"/>
      <c r="H230" s="5"/>
      <c r="J230" s="5"/>
      <c r="L230" s="5"/>
    </row>
    <row r="231" spans="2:12" ht="18" customHeight="1">
      <c r="B231" s="5"/>
      <c r="D231" s="5"/>
      <c r="F231" s="5"/>
      <c r="H231" s="5"/>
      <c r="J231" s="5"/>
      <c r="L231" s="5"/>
    </row>
    <row r="232" spans="2:12" ht="18" customHeight="1">
      <c r="B232" s="5"/>
      <c r="D232" s="5"/>
      <c r="F232" s="5"/>
      <c r="H232" s="5"/>
      <c r="J232" s="5"/>
      <c r="L232" s="5"/>
    </row>
    <row r="233" spans="2:12" ht="18" customHeight="1">
      <c r="B233" s="5"/>
      <c r="D233" s="5"/>
      <c r="F233" s="5"/>
      <c r="H233" s="5"/>
      <c r="J233" s="5"/>
      <c r="L233" s="5"/>
    </row>
    <row r="234" spans="2:12" ht="18" customHeight="1">
      <c r="B234" s="5"/>
      <c r="D234" s="5"/>
      <c r="F234" s="5"/>
      <c r="H234" s="5"/>
      <c r="J234" s="5"/>
      <c r="L234" s="5"/>
    </row>
    <row r="235" spans="2:12" ht="18" customHeight="1">
      <c r="B235" s="5"/>
      <c r="D235" s="5"/>
      <c r="F235" s="5"/>
      <c r="H235" s="5"/>
      <c r="J235" s="5"/>
      <c r="L235" s="5"/>
    </row>
    <row r="236" spans="2:12" ht="18" customHeight="1">
      <c r="B236" s="5"/>
      <c r="D236" s="5"/>
      <c r="F236" s="5"/>
      <c r="H236" s="5"/>
      <c r="J236" s="5"/>
      <c r="L236" s="5"/>
    </row>
    <row r="237" spans="2:12" ht="18" customHeight="1">
      <c r="B237" s="5"/>
      <c r="D237" s="5"/>
      <c r="F237" s="5"/>
      <c r="H237" s="5"/>
      <c r="J237" s="5"/>
      <c r="L237" s="5"/>
    </row>
    <row r="238" spans="2:12" ht="18" customHeight="1">
      <c r="B238" s="5"/>
      <c r="D238" s="5"/>
      <c r="F238" s="5"/>
      <c r="H238" s="5"/>
      <c r="J238" s="5"/>
      <c r="L238" s="5"/>
    </row>
    <row r="239" spans="2:12" ht="18" customHeight="1">
      <c r="B239" s="5"/>
      <c r="D239" s="5"/>
      <c r="F239" s="5"/>
      <c r="H239" s="5"/>
      <c r="J239" s="5"/>
      <c r="L239" s="5"/>
    </row>
    <row r="240" spans="2:12" ht="18" customHeight="1">
      <c r="B240" s="5"/>
      <c r="D240" s="5"/>
      <c r="F240" s="5"/>
      <c r="H240" s="5"/>
      <c r="J240" s="5"/>
      <c r="L240" s="5"/>
    </row>
    <row r="241" spans="2:12" ht="18" customHeight="1">
      <c r="B241" s="5"/>
      <c r="D241" s="5"/>
      <c r="F241" s="5"/>
      <c r="H241" s="5"/>
      <c r="J241" s="5"/>
      <c r="L241" s="5"/>
    </row>
    <row r="242" spans="2:12" ht="18" customHeight="1">
      <c r="B242" s="5"/>
      <c r="D242" s="5"/>
      <c r="F242" s="5"/>
      <c r="H242" s="5"/>
      <c r="J242" s="5"/>
      <c r="L242" s="5"/>
    </row>
    <row r="243" spans="2:12" ht="18" customHeight="1">
      <c r="B243" s="5"/>
      <c r="D243" s="5"/>
      <c r="F243" s="5"/>
      <c r="H243" s="5"/>
      <c r="J243" s="5"/>
      <c r="L243" s="5"/>
    </row>
    <row r="244" spans="2:12" ht="18" customHeight="1">
      <c r="B244" s="5"/>
      <c r="D244" s="5"/>
      <c r="F244" s="5"/>
      <c r="H244" s="5"/>
      <c r="J244" s="5"/>
      <c r="L244" s="5"/>
    </row>
    <row r="245" spans="2:12" ht="18" customHeight="1">
      <c r="B245" s="5"/>
      <c r="D245" s="5"/>
      <c r="F245" s="5"/>
      <c r="H245" s="5"/>
      <c r="J245" s="5"/>
      <c r="L245" s="5"/>
    </row>
    <row r="246" spans="2:12" ht="18" customHeight="1">
      <c r="B246" s="5"/>
      <c r="D246" s="5"/>
      <c r="F246" s="5"/>
      <c r="H246" s="5"/>
      <c r="J246" s="5"/>
      <c r="L246" s="5"/>
    </row>
    <row r="247" spans="2:12" ht="18" customHeight="1">
      <c r="B247" s="5"/>
      <c r="D247" s="5"/>
      <c r="F247" s="5"/>
      <c r="H247" s="5"/>
      <c r="J247" s="5"/>
      <c r="L247" s="5"/>
    </row>
    <row r="248" spans="2:12" ht="18" customHeight="1">
      <c r="B248" s="5"/>
      <c r="D248" s="5"/>
      <c r="F248" s="5"/>
      <c r="H248" s="5"/>
      <c r="J248" s="5"/>
      <c r="L248" s="5"/>
    </row>
    <row r="249" spans="2:12" ht="18" customHeight="1">
      <c r="B249" s="5"/>
      <c r="D249" s="5"/>
      <c r="F249" s="5"/>
      <c r="H249" s="5"/>
      <c r="J249" s="5"/>
      <c r="L249" s="5"/>
    </row>
    <row r="250" spans="2:12" ht="18" customHeight="1">
      <c r="B250" s="5"/>
      <c r="D250" s="5"/>
      <c r="F250" s="5"/>
      <c r="H250" s="5"/>
      <c r="J250" s="5"/>
      <c r="L250" s="5"/>
    </row>
    <row r="251" spans="2:12" ht="18" customHeight="1">
      <c r="B251" s="5"/>
      <c r="D251" s="5"/>
      <c r="F251" s="5"/>
      <c r="H251" s="5"/>
      <c r="J251" s="5"/>
      <c r="L251" s="5"/>
    </row>
    <row r="252" spans="2:12" ht="18" customHeight="1">
      <c r="B252" s="5"/>
      <c r="D252" s="5"/>
      <c r="F252" s="5"/>
      <c r="H252" s="5"/>
      <c r="J252" s="5"/>
      <c r="L252" s="5"/>
    </row>
    <row r="253" spans="2:12" ht="18" customHeight="1">
      <c r="B253" s="5"/>
      <c r="D253" s="5"/>
      <c r="F253" s="5"/>
      <c r="H253" s="5"/>
      <c r="J253" s="5"/>
      <c r="L253" s="5"/>
    </row>
    <row r="254" spans="2:12" ht="18" customHeight="1">
      <c r="B254" s="5"/>
      <c r="D254" s="5"/>
      <c r="F254" s="5"/>
      <c r="H254" s="5"/>
      <c r="J254" s="5"/>
      <c r="L254" s="5"/>
    </row>
    <row r="255" spans="2:12" ht="18" customHeight="1">
      <c r="B255" s="5"/>
      <c r="D255" s="5"/>
      <c r="F255" s="5"/>
      <c r="H255" s="5"/>
      <c r="J255" s="5"/>
      <c r="L255" s="5"/>
    </row>
    <row r="256" spans="2:12" ht="18" customHeight="1">
      <c r="B256" s="5"/>
      <c r="D256" s="5"/>
      <c r="F256" s="5"/>
      <c r="H256" s="5"/>
      <c r="J256" s="5"/>
      <c r="L256" s="5"/>
    </row>
    <row r="257" spans="2:12" ht="18" customHeight="1">
      <c r="B257" s="5"/>
      <c r="D257" s="5"/>
      <c r="F257" s="5"/>
      <c r="H257" s="5"/>
      <c r="J257" s="5"/>
      <c r="L257" s="5"/>
    </row>
    <row r="258" spans="2:12" ht="18" customHeight="1">
      <c r="B258" s="5"/>
      <c r="D258" s="5"/>
      <c r="F258" s="5"/>
      <c r="H258" s="5"/>
      <c r="J258" s="5"/>
      <c r="L258" s="5"/>
    </row>
    <row r="259" spans="2:12" ht="18" customHeight="1">
      <c r="B259" s="5"/>
      <c r="D259" s="5"/>
      <c r="F259" s="5"/>
      <c r="H259" s="5"/>
      <c r="J259" s="5"/>
      <c r="L259" s="5"/>
    </row>
    <row r="260" spans="2:12" ht="18" customHeight="1">
      <c r="B260" s="5"/>
      <c r="D260" s="5"/>
      <c r="F260" s="5"/>
      <c r="H260" s="5"/>
      <c r="J260" s="5"/>
      <c r="L260" s="5"/>
    </row>
    <row r="261" spans="2:12" ht="18" customHeight="1">
      <c r="B261" s="5"/>
      <c r="D261" s="5"/>
      <c r="F261" s="5"/>
      <c r="H261" s="5"/>
      <c r="J261" s="5"/>
      <c r="L261" s="5"/>
    </row>
    <row r="262" spans="2:12" ht="18" customHeight="1">
      <c r="B262" s="5"/>
      <c r="D262" s="5"/>
      <c r="F262" s="5"/>
      <c r="H262" s="5"/>
      <c r="J262" s="5"/>
      <c r="L262" s="5"/>
    </row>
    <row r="263" spans="2:12" ht="18" customHeight="1">
      <c r="B263" s="5"/>
      <c r="D263" s="5"/>
      <c r="F263" s="5"/>
      <c r="H263" s="5"/>
      <c r="J263" s="5"/>
      <c r="L263" s="5"/>
    </row>
    <row r="264" spans="2:12" ht="18" customHeight="1">
      <c r="B264" s="5"/>
      <c r="D264" s="5"/>
      <c r="F264" s="5"/>
      <c r="H264" s="5"/>
      <c r="J264" s="5"/>
      <c r="L264" s="5"/>
    </row>
    <row r="265" spans="2:12" ht="18" customHeight="1">
      <c r="B265" s="5"/>
      <c r="D265" s="5"/>
      <c r="F265" s="5"/>
      <c r="H265" s="5"/>
      <c r="J265" s="5"/>
      <c r="L265" s="5"/>
    </row>
    <row r="266" spans="2:12" ht="18" customHeight="1">
      <c r="B266" s="5"/>
      <c r="D266" s="5"/>
      <c r="F266" s="5"/>
      <c r="H266" s="5"/>
      <c r="J266" s="5"/>
      <c r="L266" s="5"/>
    </row>
    <row r="267" spans="2:12" ht="18" customHeight="1">
      <c r="B267" s="5"/>
      <c r="D267" s="5"/>
      <c r="F267" s="5"/>
      <c r="H267" s="5"/>
      <c r="J267" s="5"/>
      <c r="L267" s="5"/>
    </row>
    <row r="268" spans="2:12" ht="18" customHeight="1">
      <c r="B268" s="5"/>
      <c r="D268" s="5"/>
      <c r="F268" s="5"/>
      <c r="H268" s="5"/>
      <c r="J268" s="5"/>
      <c r="L268" s="5"/>
    </row>
    <row r="269" spans="2:12" ht="18" customHeight="1">
      <c r="B269" s="5"/>
      <c r="D269" s="5"/>
      <c r="F269" s="5"/>
      <c r="H269" s="5"/>
      <c r="J269" s="5"/>
      <c r="L269" s="5"/>
    </row>
    <row r="270" spans="2:12" ht="18" customHeight="1">
      <c r="B270" s="5"/>
      <c r="D270" s="5"/>
      <c r="F270" s="5"/>
      <c r="H270" s="5"/>
      <c r="J270" s="5"/>
      <c r="L270" s="5"/>
    </row>
    <row r="271" spans="2:12" ht="18" customHeight="1">
      <c r="B271" s="5"/>
      <c r="D271" s="5"/>
      <c r="F271" s="5"/>
      <c r="H271" s="5"/>
      <c r="J271" s="5"/>
      <c r="L271" s="5"/>
    </row>
    <row r="272" spans="2:12" ht="18" customHeight="1">
      <c r="B272" s="5"/>
      <c r="D272" s="5"/>
      <c r="F272" s="5"/>
      <c r="H272" s="5"/>
      <c r="J272" s="5"/>
      <c r="L272" s="5"/>
    </row>
    <row r="273" spans="2:12" ht="18" customHeight="1">
      <c r="B273" s="5"/>
      <c r="D273" s="5"/>
      <c r="F273" s="5"/>
      <c r="H273" s="5"/>
      <c r="J273" s="5"/>
      <c r="L273" s="5"/>
    </row>
    <row r="274" spans="2:12" ht="18" customHeight="1">
      <c r="B274" s="5"/>
      <c r="D274" s="5"/>
      <c r="F274" s="5"/>
      <c r="H274" s="5"/>
      <c r="J274" s="5"/>
      <c r="L274" s="5"/>
    </row>
    <row r="275" spans="2:12" ht="18" customHeight="1">
      <c r="B275" s="5"/>
      <c r="D275" s="5"/>
      <c r="F275" s="5"/>
      <c r="H275" s="5"/>
      <c r="J275" s="5"/>
      <c r="L275" s="5"/>
    </row>
    <row r="276" spans="2:12" ht="18" customHeight="1">
      <c r="B276" s="5"/>
      <c r="D276" s="5"/>
      <c r="F276" s="5"/>
      <c r="H276" s="5"/>
      <c r="J276" s="5"/>
      <c r="L276" s="5"/>
    </row>
    <row r="277" spans="2:12" ht="18" customHeight="1">
      <c r="B277" s="5"/>
      <c r="D277" s="5"/>
      <c r="F277" s="5"/>
      <c r="H277" s="5"/>
      <c r="J277" s="5"/>
      <c r="L277" s="5"/>
    </row>
    <row r="278" spans="2:12" ht="18" customHeight="1">
      <c r="B278" s="5"/>
      <c r="D278" s="5"/>
      <c r="F278" s="5"/>
      <c r="H278" s="5"/>
      <c r="J278" s="5"/>
      <c r="L278" s="5"/>
    </row>
    <row r="279" spans="2:12" ht="18" customHeight="1">
      <c r="B279" s="5"/>
      <c r="D279" s="5"/>
      <c r="F279" s="5"/>
      <c r="H279" s="5"/>
      <c r="J279" s="5"/>
      <c r="L279" s="5"/>
    </row>
    <row r="280" spans="2:12" ht="18" customHeight="1">
      <c r="B280" s="5"/>
      <c r="D280" s="5"/>
      <c r="F280" s="5"/>
      <c r="H280" s="5"/>
      <c r="J280" s="5"/>
      <c r="L280" s="5"/>
    </row>
    <row r="281" spans="2:12" ht="18" customHeight="1">
      <c r="B281" s="5"/>
      <c r="D281" s="5"/>
      <c r="F281" s="5"/>
      <c r="H281" s="5"/>
      <c r="J281" s="5"/>
      <c r="L281" s="5"/>
    </row>
    <row r="282" spans="2:12" ht="18" customHeight="1">
      <c r="B282" s="5"/>
      <c r="D282" s="5"/>
      <c r="F282" s="5"/>
      <c r="H282" s="5"/>
      <c r="J282" s="5"/>
      <c r="L282" s="5"/>
    </row>
    <row r="283" spans="2:12" ht="18" customHeight="1">
      <c r="B283" s="5"/>
      <c r="D283" s="5"/>
      <c r="F283" s="5"/>
      <c r="H283" s="5"/>
      <c r="J283" s="5"/>
      <c r="L283" s="5"/>
    </row>
    <row r="284" spans="2:12" ht="18" customHeight="1">
      <c r="B284" s="5"/>
      <c r="D284" s="5"/>
      <c r="F284" s="5"/>
      <c r="H284" s="5"/>
      <c r="J284" s="5"/>
      <c r="L284" s="5"/>
    </row>
    <row r="285" spans="2:12" ht="18" customHeight="1">
      <c r="B285" s="5"/>
      <c r="D285" s="5"/>
      <c r="F285" s="5"/>
      <c r="H285" s="5"/>
      <c r="J285" s="5"/>
      <c r="L285" s="5"/>
    </row>
    <row r="286" spans="2:12" ht="18" customHeight="1">
      <c r="B286" s="5"/>
      <c r="D286" s="5"/>
      <c r="F286" s="5"/>
      <c r="H286" s="5"/>
      <c r="J286" s="5"/>
      <c r="L286" s="5"/>
    </row>
    <row r="287" spans="2:12" ht="18" customHeight="1">
      <c r="B287" s="5"/>
      <c r="D287" s="5"/>
      <c r="F287" s="5"/>
      <c r="H287" s="5"/>
      <c r="J287" s="5"/>
      <c r="L287" s="5"/>
    </row>
    <row r="288" spans="2:12" ht="18" customHeight="1">
      <c r="B288" s="5"/>
      <c r="D288" s="5"/>
      <c r="F288" s="5"/>
      <c r="H288" s="5"/>
      <c r="J288" s="5"/>
      <c r="L288" s="5"/>
    </row>
    <row r="289" spans="2:12" ht="18" customHeight="1">
      <c r="B289" s="5"/>
      <c r="D289" s="5"/>
      <c r="F289" s="5"/>
      <c r="H289" s="5"/>
      <c r="J289" s="5"/>
      <c r="L289" s="5"/>
    </row>
    <row r="290" spans="2:12" ht="18" customHeight="1">
      <c r="B290" s="5"/>
      <c r="D290" s="5"/>
      <c r="F290" s="5"/>
      <c r="H290" s="5"/>
      <c r="J290" s="5"/>
      <c r="L290" s="5"/>
    </row>
    <row r="291" spans="2:12" ht="18" customHeight="1">
      <c r="B291" s="5"/>
      <c r="D291" s="5"/>
      <c r="F291" s="5"/>
      <c r="H291" s="5"/>
      <c r="J291" s="5"/>
      <c r="L291" s="5"/>
    </row>
    <row r="292" spans="2:12" ht="18" customHeight="1">
      <c r="B292" s="5"/>
      <c r="D292" s="5"/>
      <c r="F292" s="5"/>
      <c r="H292" s="5"/>
      <c r="J292" s="5"/>
      <c r="L292" s="5"/>
    </row>
    <row r="293" spans="2:12" ht="18" customHeight="1">
      <c r="B293" s="5"/>
      <c r="D293" s="5"/>
      <c r="F293" s="5"/>
      <c r="H293" s="5"/>
      <c r="J293" s="5"/>
      <c r="L293" s="5"/>
    </row>
    <row r="294" spans="2:12" ht="18" customHeight="1">
      <c r="B294" s="5"/>
      <c r="D294" s="5"/>
      <c r="F294" s="5"/>
      <c r="H294" s="5"/>
      <c r="J294" s="5"/>
      <c r="L294" s="5"/>
    </row>
    <row r="295" spans="2:12" ht="18" customHeight="1">
      <c r="B295" s="5"/>
      <c r="D295" s="5"/>
      <c r="F295" s="5"/>
      <c r="H295" s="5"/>
      <c r="J295" s="5"/>
      <c r="L295" s="5"/>
    </row>
    <row r="296" spans="2:12" ht="18" customHeight="1">
      <c r="B296" s="5"/>
      <c r="D296" s="5"/>
      <c r="F296" s="5"/>
      <c r="H296" s="5"/>
      <c r="J296" s="5"/>
      <c r="L296" s="5"/>
    </row>
    <row r="297" spans="2:12" ht="18" customHeight="1">
      <c r="B297" s="5"/>
      <c r="D297" s="5"/>
      <c r="F297" s="5"/>
      <c r="H297" s="5"/>
      <c r="J297" s="5"/>
      <c r="L297" s="5"/>
    </row>
    <row r="298" spans="2:12" ht="18" customHeight="1">
      <c r="B298" s="5"/>
      <c r="D298" s="5"/>
      <c r="F298" s="5"/>
      <c r="H298" s="5"/>
      <c r="J298" s="5"/>
      <c r="L298" s="5"/>
    </row>
    <row r="299" spans="2:12" ht="18" customHeight="1">
      <c r="B299" s="5"/>
      <c r="D299" s="5"/>
      <c r="F299" s="5"/>
      <c r="H299" s="5"/>
      <c r="J299" s="5"/>
      <c r="L299" s="5"/>
    </row>
    <row r="300" spans="2:12" ht="18" customHeight="1">
      <c r="B300" s="5"/>
      <c r="D300" s="5"/>
      <c r="F300" s="5"/>
      <c r="H300" s="5"/>
      <c r="J300" s="5"/>
      <c r="L300" s="5"/>
    </row>
    <row r="301" spans="2:12" ht="18" customHeight="1">
      <c r="B301" s="5"/>
      <c r="D301" s="5"/>
      <c r="F301" s="5"/>
      <c r="H301" s="5"/>
      <c r="J301" s="5"/>
      <c r="L301" s="5"/>
    </row>
    <row r="302" spans="2:12" ht="18" customHeight="1">
      <c r="B302" s="5"/>
      <c r="D302" s="5"/>
      <c r="F302" s="5"/>
      <c r="H302" s="5"/>
      <c r="J302" s="5"/>
      <c r="L302" s="5"/>
    </row>
    <row r="303" spans="2:12" ht="18" customHeight="1">
      <c r="B303" s="5"/>
      <c r="D303" s="5"/>
      <c r="F303" s="5"/>
      <c r="H303" s="5"/>
      <c r="J303" s="5"/>
      <c r="L303" s="5"/>
    </row>
    <row r="304" spans="2:12" ht="18" customHeight="1">
      <c r="B304" s="5"/>
      <c r="D304" s="5"/>
      <c r="F304" s="5"/>
      <c r="H304" s="5"/>
      <c r="J304" s="5"/>
      <c r="L304" s="5"/>
    </row>
    <row r="305" spans="2:12" ht="18" customHeight="1">
      <c r="B305" s="5"/>
      <c r="D305" s="5"/>
      <c r="F305" s="5"/>
      <c r="H305" s="5"/>
      <c r="J305" s="5"/>
      <c r="L305" s="5"/>
    </row>
    <row r="306" spans="2:12" ht="18" customHeight="1">
      <c r="B306" s="5"/>
      <c r="D306" s="5"/>
      <c r="F306" s="5"/>
      <c r="H306" s="5"/>
      <c r="J306" s="5"/>
      <c r="L306" s="5"/>
    </row>
    <row r="307" spans="2:12" ht="18" customHeight="1">
      <c r="B307" s="5"/>
      <c r="D307" s="5"/>
      <c r="F307" s="5"/>
      <c r="H307" s="5"/>
      <c r="J307" s="5"/>
      <c r="L307" s="5"/>
    </row>
    <row r="308" spans="2:12" ht="18" customHeight="1">
      <c r="B308" s="5"/>
      <c r="D308" s="5"/>
      <c r="F308" s="5"/>
      <c r="H308" s="5"/>
      <c r="J308" s="5"/>
      <c r="L308" s="5"/>
    </row>
    <row r="309" spans="2:12" ht="18" customHeight="1">
      <c r="B309" s="5"/>
      <c r="D309" s="5"/>
      <c r="F309" s="5"/>
      <c r="H309" s="5"/>
      <c r="J309" s="5"/>
      <c r="L309" s="5"/>
    </row>
    <row r="310" spans="2:12" ht="18" customHeight="1">
      <c r="B310" s="5"/>
      <c r="D310" s="5"/>
      <c r="F310" s="5"/>
      <c r="H310" s="5"/>
      <c r="J310" s="5"/>
      <c r="L310" s="5"/>
    </row>
    <row r="311" spans="2:12" ht="18" customHeight="1">
      <c r="B311" s="5"/>
      <c r="D311" s="5"/>
      <c r="F311" s="5"/>
      <c r="H311" s="5"/>
      <c r="J311" s="5"/>
      <c r="L311" s="5"/>
    </row>
    <row r="312" spans="2:12" ht="18" customHeight="1">
      <c r="B312" s="5"/>
      <c r="D312" s="5"/>
      <c r="F312" s="5"/>
      <c r="H312" s="5"/>
      <c r="J312" s="5"/>
      <c r="L312" s="5"/>
    </row>
    <row r="313" spans="2:12" ht="18" customHeight="1">
      <c r="B313" s="5"/>
      <c r="D313" s="5"/>
      <c r="F313" s="5"/>
      <c r="H313" s="5"/>
      <c r="J313" s="5"/>
      <c r="L313" s="5"/>
    </row>
    <row r="314" spans="2:12" ht="18" customHeight="1">
      <c r="B314" s="5"/>
      <c r="D314" s="5"/>
      <c r="F314" s="5"/>
      <c r="H314" s="5"/>
      <c r="J314" s="5"/>
      <c r="L314" s="5"/>
    </row>
    <row r="315" spans="2:12" ht="18" customHeight="1">
      <c r="B315" s="5"/>
      <c r="D315" s="5"/>
      <c r="F315" s="5"/>
      <c r="H315" s="5"/>
      <c r="J315" s="5"/>
      <c r="L315" s="5"/>
    </row>
    <row r="316" spans="2:12" ht="18" customHeight="1">
      <c r="B316" s="5"/>
      <c r="D316" s="5"/>
      <c r="F316" s="5"/>
      <c r="H316" s="5"/>
      <c r="J316" s="5"/>
      <c r="L316" s="5"/>
    </row>
    <row r="317" spans="2:12" ht="18" customHeight="1">
      <c r="B317" s="5"/>
      <c r="D317" s="5"/>
      <c r="F317" s="5"/>
      <c r="H317" s="5"/>
      <c r="J317" s="5"/>
      <c r="L317" s="5"/>
    </row>
    <row r="318" spans="2:12" ht="18" customHeight="1">
      <c r="B318" s="5"/>
      <c r="D318" s="5"/>
      <c r="F318" s="5"/>
      <c r="H318" s="5"/>
      <c r="J318" s="5"/>
      <c r="L318" s="5"/>
    </row>
    <row r="319" spans="2:12" ht="18" customHeight="1">
      <c r="B319" s="5"/>
      <c r="D319" s="5"/>
      <c r="F319" s="5"/>
      <c r="H319" s="5"/>
      <c r="J319" s="5"/>
      <c r="L319" s="5"/>
    </row>
    <row r="320" spans="2:12" ht="18" customHeight="1">
      <c r="B320" s="5"/>
      <c r="D320" s="5"/>
      <c r="F320" s="5"/>
      <c r="H320" s="5"/>
      <c r="J320" s="5"/>
      <c r="L320" s="5"/>
    </row>
    <row r="321" spans="2:12" ht="18" customHeight="1">
      <c r="B321" s="5"/>
      <c r="D321" s="5"/>
      <c r="F321" s="5"/>
      <c r="H321" s="5"/>
      <c r="J321" s="5"/>
      <c r="L321" s="5"/>
    </row>
    <row r="322" spans="2:12" ht="18" customHeight="1">
      <c r="B322" s="5"/>
      <c r="D322" s="5"/>
      <c r="F322" s="5"/>
      <c r="H322" s="5"/>
      <c r="J322" s="5"/>
      <c r="L322" s="5"/>
    </row>
    <row r="323" spans="2:12" ht="18" customHeight="1">
      <c r="B323" s="5"/>
      <c r="D323" s="5"/>
      <c r="F323" s="5"/>
      <c r="H323" s="5"/>
      <c r="J323" s="5"/>
      <c r="L323" s="5"/>
    </row>
    <row r="324" spans="2:12" ht="18" customHeight="1">
      <c r="B324" s="5"/>
      <c r="D324" s="5"/>
      <c r="F324" s="5"/>
      <c r="H324" s="5"/>
      <c r="J324" s="5"/>
      <c r="L324" s="5"/>
    </row>
    <row r="325" spans="2:12" ht="18" customHeight="1">
      <c r="B325" s="5"/>
      <c r="D325" s="5"/>
      <c r="F325" s="5"/>
      <c r="H325" s="5"/>
      <c r="J325" s="5"/>
      <c r="L325" s="5"/>
    </row>
    <row r="326" spans="2:12" ht="18" customHeight="1">
      <c r="B326" s="5"/>
      <c r="D326" s="5"/>
      <c r="F326" s="5"/>
      <c r="H326" s="5"/>
      <c r="J326" s="5"/>
      <c r="L326" s="5"/>
    </row>
    <row r="327" spans="2:12" ht="18" customHeight="1">
      <c r="B327" s="5"/>
      <c r="D327" s="5"/>
      <c r="F327" s="5"/>
      <c r="H327" s="5"/>
      <c r="J327" s="5"/>
      <c r="L327" s="5"/>
    </row>
    <row r="328" spans="2:12" ht="18" customHeight="1">
      <c r="B328" s="5"/>
      <c r="D328" s="5"/>
      <c r="F328" s="5"/>
      <c r="H328" s="5"/>
      <c r="J328" s="5"/>
      <c r="L328" s="5"/>
    </row>
    <row r="329" spans="2:12" ht="18" customHeight="1">
      <c r="B329" s="5"/>
      <c r="D329" s="5"/>
      <c r="F329" s="5"/>
      <c r="H329" s="5"/>
      <c r="J329" s="5"/>
      <c r="L329" s="5"/>
    </row>
    <row r="330" spans="2:12" ht="18" customHeight="1">
      <c r="B330" s="5"/>
      <c r="D330" s="5"/>
      <c r="F330" s="5"/>
      <c r="H330" s="5"/>
      <c r="J330" s="5"/>
      <c r="L330" s="5"/>
    </row>
    <row r="331" spans="2:12" ht="18" customHeight="1">
      <c r="B331" s="5"/>
      <c r="D331" s="5"/>
      <c r="F331" s="5"/>
      <c r="H331" s="5"/>
      <c r="J331" s="5"/>
      <c r="L331" s="5"/>
    </row>
    <row r="332" spans="2:12" ht="18" customHeight="1">
      <c r="B332" s="5"/>
      <c r="D332" s="5"/>
      <c r="F332" s="5"/>
      <c r="H332" s="5"/>
      <c r="J332" s="5"/>
      <c r="L332" s="5"/>
    </row>
    <row r="333" spans="2:12" ht="18" customHeight="1">
      <c r="B333" s="5"/>
      <c r="D333" s="5"/>
      <c r="F333" s="5"/>
      <c r="H333" s="5"/>
      <c r="J333" s="5"/>
      <c r="L333" s="5"/>
    </row>
    <row r="334" spans="2:12" ht="18" customHeight="1">
      <c r="B334" s="5"/>
      <c r="D334" s="5"/>
      <c r="F334" s="5"/>
      <c r="H334" s="5"/>
      <c r="J334" s="5"/>
      <c r="L334" s="5"/>
    </row>
    <row r="335" spans="2:12" ht="18" customHeight="1">
      <c r="B335" s="5"/>
      <c r="D335" s="5"/>
      <c r="F335" s="5"/>
      <c r="H335" s="5"/>
      <c r="J335" s="5"/>
      <c r="L335" s="5"/>
    </row>
    <row r="336" spans="2:12" ht="18" customHeight="1">
      <c r="B336" s="5"/>
      <c r="D336" s="5"/>
      <c r="F336" s="5"/>
      <c r="H336" s="5"/>
      <c r="J336" s="5"/>
      <c r="L336" s="5"/>
    </row>
    <row r="337" spans="2:12" ht="18" customHeight="1">
      <c r="B337" s="5"/>
      <c r="D337" s="5"/>
      <c r="F337" s="5"/>
      <c r="H337" s="5"/>
      <c r="J337" s="5"/>
      <c r="L337" s="5"/>
    </row>
    <row r="338" spans="2:12" ht="18" customHeight="1">
      <c r="B338" s="5"/>
      <c r="D338" s="5"/>
      <c r="F338" s="5"/>
      <c r="H338" s="5"/>
      <c r="J338" s="5"/>
      <c r="L338" s="5"/>
    </row>
    <row r="339" spans="2:12" ht="18" customHeight="1">
      <c r="B339" s="5"/>
      <c r="D339" s="5"/>
      <c r="F339" s="5"/>
      <c r="H339" s="5"/>
      <c r="J339" s="5"/>
      <c r="L339" s="5"/>
    </row>
    <row r="340" spans="2:12" ht="18" customHeight="1">
      <c r="B340" s="5"/>
      <c r="D340" s="5"/>
      <c r="F340" s="5"/>
      <c r="H340" s="5"/>
      <c r="J340" s="5"/>
      <c r="L340" s="5"/>
    </row>
    <row r="341" spans="2:12" ht="18" customHeight="1">
      <c r="B341" s="5"/>
      <c r="D341" s="5"/>
      <c r="F341" s="5"/>
      <c r="H341" s="5"/>
      <c r="J341" s="5"/>
      <c r="L341" s="5"/>
    </row>
    <row r="342" spans="2:12" ht="18" customHeight="1">
      <c r="B342" s="5"/>
      <c r="D342" s="5"/>
      <c r="F342" s="5"/>
      <c r="H342" s="5"/>
      <c r="J342" s="5"/>
      <c r="L342" s="5"/>
    </row>
    <row r="343" spans="2:12" ht="18" customHeight="1">
      <c r="B343" s="5"/>
      <c r="D343" s="5"/>
      <c r="F343" s="5"/>
      <c r="H343" s="5"/>
      <c r="J343" s="5"/>
      <c r="L343" s="5"/>
    </row>
    <row r="344" spans="2:12" ht="18" customHeight="1">
      <c r="B344" s="5"/>
      <c r="D344" s="5"/>
      <c r="F344" s="5"/>
      <c r="H344" s="5"/>
      <c r="J344" s="5"/>
      <c r="L344" s="5"/>
    </row>
    <row r="345" spans="2:12" ht="18" customHeight="1">
      <c r="B345" s="5"/>
      <c r="D345" s="5"/>
      <c r="F345" s="5"/>
      <c r="H345" s="5"/>
      <c r="J345" s="5"/>
      <c r="L345" s="5"/>
    </row>
    <row r="346" spans="2:12" ht="18" customHeight="1">
      <c r="B346" s="5"/>
      <c r="D346" s="5"/>
      <c r="F346" s="5"/>
      <c r="H346" s="5"/>
      <c r="J346" s="5"/>
      <c r="L346" s="5"/>
    </row>
    <row r="347" spans="2:12" ht="18" customHeight="1">
      <c r="B347" s="5"/>
      <c r="D347" s="5"/>
      <c r="F347" s="5"/>
      <c r="H347" s="5"/>
      <c r="J347" s="5"/>
      <c r="L347" s="5"/>
    </row>
    <row r="348" spans="2:12" ht="18" customHeight="1">
      <c r="B348" s="5"/>
      <c r="D348" s="5"/>
      <c r="F348" s="5"/>
      <c r="H348" s="5"/>
      <c r="J348" s="5"/>
      <c r="L348" s="5"/>
    </row>
    <row r="349" spans="2:12" ht="18" customHeight="1">
      <c r="B349" s="5"/>
      <c r="D349" s="5"/>
      <c r="F349" s="5"/>
      <c r="H349" s="5"/>
      <c r="J349" s="5"/>
      <c r="L349" s="5"/>
    </row>
    <row r="350" spans="2:12" ht="18" customHeight="1">
      <c r="B350" s="5"/>
      <c r="D350" s="5"/>
      <c r="F350" s="5"/>
      <c r="H350" s="5"/>
      <c r="J350" s="5"/>
      <c r="L350" s="5"/>
    </row>
    <row r="351" spans="2:12" ht="18" customHeight="1">
      <c r="B351" s="5"/>
      <c r="D351" s="5"/>
      <c r="F351" s="5"/>
      <c r="H351" s="5"/>
      <c r="J351" s="5"/>
      <c r="L351" s="5"/>
    </row>
    <row r="352" spans="2:12" ht="18" customHeight="1">
      <c r="B352" s="5"/>
      <c r="D352" s="5"/>
      <c r="F352" s="5"/>
      <c r="H352" s="5"/>
      <c r="J352" s="5"/>
      <c r="L352" s="5"/>
    </row>
    <row r="353" spans="2:12" ht="18" customHeight="1">
      <c r="B353" s="5"/>
      <c r="D353" s="5"/>
      <c r="F353" s="5"/>
      <c r="H353" s="5"/>
      <c r="J353" s="5"/>
      <c r="L353" s="5"/>
    </row>
    <row r="354" spans="2:12" ht="18" customHeight="1">
      <c r="B354" s="5"/>
      <c r="D354" s="5"/>
      <c r="F354" s="5"/>
      <c r="H354" s="5"/>
      <c r="J354" s="5"/>
      <c r="L354" s="5"/>
    </row>
    <row r="355" spans="2:12" ht="18" customHeight="1">
      <c r="B355" s="5"/>
      <c r="D355" s="5"/>
      <c r="F355" s="5"/>
      <c r="H355" s="5"/>
      <c r="J355" s="5"/>
      <c r="L355" s="5"/>
    </row>
    <row r="356" spans="2:12" ht="18" customHeight="1">
      <c r="B356" s="5"/>
      <c r="D356" s="5"/>
      <c r="F356" s="5"/>
      <c r="H356" s="5"/>
      <c r="J356" s="5"/>
      <c r="L356" s="5"/>
    </row>
    <row r="357" spans="2:12" ht="18" customHeight="1">
      <c r="B357" s="5"/>
      <c r="D357" s="5"/>
      <c r="F357" s="5"/>
      <c r="H357" s="5"/>
      <c r="J357" s="5"/>
      <c r="L357" s="5"/>
    </row>
    <row r="358" spans="2:12" ht="18" customHeight="1">
      <c r="B358" s="5"/>
      <c r="D358" s="5"/>
      <c r="F358" s="5"/>
      <c r="H358" s="5"/>
      <c r="J358" s="5"/>
      <c r="L358" s="5"/>
    </row>
    <row r="359" spans="2:12" ht="18" customHeight="1">
      <c r="B359" s="5"/>
      <c r="D359" s="5"/>
      <c r="F359" s="5"/>
      <c r="H359" s="5"/>
      <c r="J359" s="5"/>
      <c r="L359" s="5"/>
    </row>
    <row r="360" spans="2:12" ht="18" customHeight="1">
      <c r="B360" s="5"/>
      <c r="D360" s="5"/>
      <c r="F360" s="5"/>
      <c r="H360" s="5"/>
      <c r="J360" s="5"/>
      <c r="L360" s="5"/>
    </row>
    <row r="361" spans="2:12" ht="18" customHeight="1">
      <c r="B361" s="5"/>
      <c r="D361" s="5"/>
      <c r="F361" s="5"/>
      <c r="H361" s="5"/>
      <c r="J361" s="5"/>
      <c r="L361" s="5"/>
    </row>
    <row r="362" spans="2:12" ht="18" customHeight="1">
      <c r="B362" s="5"/>
      <c r="D362" s="5"/>
      <c r="F362" s="5"/>
      <c r="H362" s="5"/>
      <c r="J362" s="5"/>
      <c r="L362" s="5"/>
    </row>
    <row r="363" spans="2:12" ht="18" customHeight="1">
      <c r="B363" s="5"/>
      <c r="D363" s="5"/>
      <c r="F363" s="5"/>
      <c r="H363" s="5"/>
      <c r="J363" s="5"/>
      <c r="L363" s="5"/>
    </row>
    <row r="364" spans="2:12" ht="18" customHeight="1">
      <c r="B364" s="5"/>
      <c r="D364" s="5"/>
      <c r="F364" s="5"/>
      <c r="H364" s="5"/>
      <c r="J364" s="5"/>
      <c r="L364" s="5"/>
    </row>
    <row r="365" spans="2:12" ht="18" customHeight="1">
      <c r="B365" s="5"/>
      <c r="D365" s="5"/>
      <c r="F365" s="5"/>
      <c r="H365" s="5"/>
      <c r="J365" s="5"/>
      <c r="L365" s="5"/>
    </row>
    <row r="366" spans="2:12" ht="18" customHeight="1">
      <c r="B366" s="5"/>
      <c r="D366" s="5"/>
      <c r="F366" s="5"/>
      <c r="H366" s="5"/>
      <c r="J366" s="5"/>
      <c r="L366" s="5"/>
    </row>
    <row r="367" spans="2:12" ht="18" customHeight="1">
      <c r="B367" s="5"/>
      <c r="D367" s="5"/>
      <c r="F367" s="5"/>
      <c r="H367" s="5"/>
      <c r="J367" s="5"/>
      <c r="L367" s="5"/>
    </row>
    <row r="368" spans="2:12" ht="18" customHeight="1">
      <c r="B368" s="5"/>
      <c r="D368" s="5"/>
      <c r="F368" s="5"/>
      <c r="H368" s="5"/>
      <c r="J368" s="5"/>
      <c r="L368" s="5"/>
    </row>
    <row r="369" spans="2:12" ht="18" customHeight="1">
      <c r="B369" s="5"/>
      <c r="D369" s="5"/>
      <c r="F369" s="5"/>
      <c r="H369" s="5"/>
      <c r="J369" s="5"/>
      <c r="L369" s="5"/>
    </row>
    <row r="370" spans="2:12" ht="18" customHeight="1">
      <c r="B370" s="5"/>
      <c r="D370" s="5"/>
      <c r="F370" s="5"/>
      <c r="H370" s="5"/>
      <c r="J370" s="5"/>
      <c r="L370" s="5"/>
    </row>
    <row r="371" spans="2:12" ht="18" customHeight="1">
      <c r="B371" s="5"/>
      <c r="D371" s="5"/>
      <c r="F371" s="5"/>
      <c r="H371" s="5"/>
      <c r="J371" s="5"/>
      <c r="L371" s="5"/>
    </row>
    <row r="372" spans="2:12" ht="18" customHeight="1">
      <c r="B372" s="5"/>
      <c r="D372" s="5"/>
      <c r="F372" s="5"/>
      <c r="H372" s="5"/>
      <c r="J372" s="5"/>
      <c r="L372" s="5"/>
    </row>
    <row r="373" spans="2:12" ht="18" customHeight="1">
      <c r="B373" s="5"/>
      <c r="D373" s="5"/>
      <c r="F373" s="5"/>
      <c r="H373" s="5"/>
      <c r="J373" s="5"/>
      <c r="L373" s="5"/>
    </row>
    <row r="374" spans="2:12" ht="18" customHeight="1">
      <c r="B374" s="5"/>
      <c r="D374" s="5"/>
      <c r="F374" s="5"/>
      <c r="H374" s="5"/>
      <c r="J374" s="5"/>
      <c r="L374" s="5"/>
    </row>
    <row r="375" spans="2:12" ht="18" customHeight="1">
      <c r="B375" s="5"/>
      <c r="D375" s="5"/>
      <c r="F375" s="5"/>
      <c r="H375" s="5"/>
      <c r="J375" s="5"/>
      <c r="L375" s="5"/>
    </row>
    <row r="376" spans="2:12" ht="18" customHeight="1">
      <c r="B376" s="5"/>
      <c r="D376" s="5"/>
      <c r="F376" s="5"/>
      <c r="H376" s="5"/>
      <c r="J376" s="5"/>
      <c r="L376" s="5"/>
    </row>
    <row r="377" spans="2:12" ht="18" customHeight="1">
      <c r="B377" s="5"/>
      <c r="D377" s="5"/>
      <c r="F377" s="5"/>
      <c r="H377" s="5"/>
      <c r="J377" s="5"/>
      <c r="L377" s="5"/>
    </row>
    <row r="378" spans="2:12" ht="18" customHeight="1">
      <c r="B378" s="5"/>
      <c r="D378" s="5"/>
      <c r="F378" s="5"/>
      <c r="H378" s="5"/>
      <c r="J378" s="5"/>
      <c r="L378" s="5"/>
    </row>
    <row r="379" spans="2:12" ht="18" customHeight="1">
      <c r="B379" s="5"/>
      <c r="D379" s="5"/>
      <c r="F379" s="5"/>
      <c r="H379" s="5"/>
      <c r="J379" s="5"/>
      <c r="L379" s="5"/>
    </row>
    <row r="380" spans="2:12" ht="18" customHeight="1">
      <c r="B380" s="5"/>
      <c r="D380" s="5"/>
      <c r="F380" s="5"/>
      <c r="H380" s="5"/>
      <c r="J380" s="5"/>
      <c r="L380" s="5"/>
    </row>
    <row r="381" spans="2:12" ht="18" customHeight="1">
      <c r="B381" s="5"/>
      <c r="D381" s="5"/>
      <c r="F381" s="5"/>
      <c r="H381" s="5"/>
      <c r="J381" s="5"/>
      <c r="L381" s="5"/>
    </row>
    <row r="382" spans="2:12" ht="18" customHeight="1">
      <c r="B382" s="5"/>
      <c r="D382" s="5"/>
      <c r="F382" s="5"/>
      <c r="H382" s="5"/>
      <c r="J382" s="5"/>
      <c r="L382" s="5"/>
    </row>
    <row r="383" spans="2:12" ht="18" customHeight="1">
      <c r="B383" s="5"/>
      <c r="D383" s="5"/>
      <c r="F383" s="5"/>
      <c r="H383" s="5"/>
      <c r="J383" s="5"/>
      <c r="L383" s="5"/>
    </row>
    <row r="384" spans="2:12" ht="18" customHeight="1">
      <c r="B384" s="5"/>
      <c r="D384" s="5"/>
      <c r="F384" s="5"/>
      <c r="H384" s="5"/>
      <c r="J384" s="5"/>
      <c r="L384" s="5"/>
    </row>
    <row r="385" spans="2:12" ht="18" customHeight="1">
      <c r="B385" s="5"/>
      <c r="D385" s="5"/>
      <c r="F385" s="5"/>
      <c r="H385" s="5"/>
      <c r="J385" s="5"/>
      <c r="L385" s="5"/>
    </row>
    <row r="386" spans="2:12" ht="18" customHeight="1">
      <c r="B386" s="5"/>
      <c r="D386" s="5"/>
      <c r="F386" s="5"/>
      <c r="H386" s="5"/>
      <c r="J386" s="5"/>
      <c r="L386" s="5"/>
    </row>
    <row r="387" spans="2:12" ht="18" customHeight="1">
      <c r="B387" s="5"/>
      <c r="D387" s="5"/>
      <c r="F387" s="5"/>
      <c r="H387" s="5"/>
      <c r="J387" s="5"/>
      <c r="L387" s="5"/>
    </row>
    <row r="388" spans="2:12" ht="18" customHeight="1">
      <c r="B388" s="5"/>
      <c r="D388" s="5"/>
      <c r="F388" s="5"/>
      <c r="H388" s="5"/>
      <c r="J388" s="5"/>
      <c r="L388" s="5"/>
    </row>
    <row r="389" spans="2:12" ht="18" customHeight="1">
      <c r="B389" s="5"/>
      <c r="D389" s="5"/>
      <c r="F389" s="5"/>
      <c r="H389" s="5"/>
      <c r="J389" s="5"/>
      <c r="L389" s="5"/>
    </row>
    <row r="390" spans="2:12" ht="18" customHeight="1">
      <c r="B390" s="5"/>
      <c r="D390" s="5"/>
      <c r="F390" s="5"/>
      <c r="H390" s="5"/>
      <c r="J390" s="5"/>
      <c r="L390" s="5"/>
    </row>
    <row r="391" spans="2:12" ht="18" customHeight="1">
      <c r="B391" s="5"/>
      <c r="D391" s="5"/>
      <c r="F391" s="5"/>
      <c r="H391" s="5"/>
      <c r="J391" s="5"/>
      <c r="L391" s="5"/>
    </row>
    <row r="392" spans="2:12" ht="18" customHeight="1">
      <c r="B392" s="5"/>
      <c r="D392" s="5"/>
      <c r="F392" s="5"/>
      <c r="H392" s="5"/>
      <c r="J392" s="5"/>
      <c r="L392" s="5"/>
    </row>
    <row r="393" spans="2:12" ht="18" customHeight="1">
      <c r="B393" s="5"/>
      <c r="D393" s="5"/>
      <c r="F393" s="5"/>
      <c r="H393" s="5"/>
      <c r="J393" s="5"/>
      <c r="L393" s="5"/>
    </row>
    <row r="394" spans="2:12" ht="18" customHeight="1">
      <c r="B394" s="5"/>
      <c r="D394" s="5"/>
      <c r="F394" s="5"/>
      <c r="H394" s="5"/>
      <c r="J394" s="5"/>
      <c r="L394" s="5"/>
    </row>
    <row r="395" spans="2:12" ht="18" customHeight="1">
      <c r="B395" s="5"/>
      <c r="D395" s="5"/>
      <c r="F395" s="5"/>
      <c r="H395" s="5"/>
      <c r="J395" s="5"/>
      <c r="L395" s="5"/>
    </row>
    <row r="396" spans="2:12" ht="18" customHeight="1">
      <c r="B396" s="5"/>
      <c r="D396" s="5"/>
      <c r="F396" s="5"/>
      <c r="H396" s="5"/>
      <c r="J396" s="5"/>
      <c r="L396" s="5"/>
    </row>
    <row r="397" spans="2:12" ht="18" customHeight="1">
      <c r="B397" s="5"/>
      <c r="D397" s="5"/>
      <c r="F397" s="5"/>
      <c r="H397" s="5"/>
      <c r="J397" s="5"/>
      <c r="L397" s="5"/>
    </row>
    <row r="398" spans="2:12" ht="18" customHeight="1">
      <c r="B398" s="5"/>
      <c r="D398" s="5"/>
      <c r="F398" s="5"/>
      <c r="H398" s="5"/>
      <c r="J398" s="5"/>
      <c r="L398" s="5"/>
    </row>
    <row r="399" spans="2:12" ht="18" customHeight="1">
      <c r="B399" s="5"/>
      <c r="D399" s="5"/>
      <c r="F399" s="5"/>
      <c r="H399" s="5"/>
      <c r="J399" s="5"/>
      <c r="L399" s="5"/>
    </row>
    <row r="400" spans="2:12" ht="18" customHeight="1">
      <c r="B400" s="5"/>
      <c r="D400" s="5"/>
      <c r="F400" s="5"/>
      <c r="H400" s="5"/>
      <c r="J400" s="5"/>
      <c r="L400" s="5"/>
    </row>
    <row r="401" spans="2:12" ht="18" customHeight="1">
      <c r="B401" s="5"/>
      <c r="D401" s="5"/>
      <c r="F401" s="5"/>
      <c r="H401" s="5"/>
      <c r="J401" s="5"/>
      <c r="L401" s="5"/>
    </row>
    <row r="402" spans="2:12" ht="18" customHeight="1">
      <c r="B402" s="5"/>
      <c r="D402" s="5"/>
      <c r="F402" s="5"/>
      <c r="H402" s="5"/>
      <c r="J402" s="5"/>
      <c r="L402" s="5"/>
    </row>
    <row r="403" spans="2:12" ht="18" customHeight="1">
      <c r="B403" s="5"/>
      <c r="D403" s="5"/>
      <c r="F403" s="5"/>
      <c r="H403" s="5"/>
      <c r="J403" s="5"/>
      <c r="L403" s="5"/>
    </row>
    <row r="404" spans="2:12" ht="18" customHeight="1">
      <c r="B404" s="5"/>
      <c r="D404" s="5"/>
      <c r="F404" s="5"/>
      <c r="H404" s="5"/>
      <c r="J404" s="5"/>
      <c r="L404" s="5"/>
    </row>
    <row r="405" spans="2:12" ht="18" customHeight="1">
      <c r="B405" s="5"/>
      <c r="D405" s="5"/>
      <c r="F405" s="5"/>
      <c r="H405" s="5"/>
      <c r="J405" s="5"/>
      <c r="L405" s="5"/>
    </row>
    <row r="406" spans="2:12" ht="18" customHeight="1">
      <c r="B406" s="5"/>
      <c r="D406" s="5"/>
      <c r="F406" s="5"/>
      <c r="H406" s="5"/>
      <c r="J406" s="5"/>
      <c r="L406" s="5"/>
    </row>
    <row r="407" spans="2:12" ht="18" customHeight="1">
      <c r="B407" s="5"/>
      <c r="D407" s="5"/>
      <c r="F407" s="5"/>
      <c r="H407" s="5"/>
      <c r="J407" s="5"/>
      <c r="L407" s="5"/>
    </row>
    <row r="408" spans="2:12" ht="18" customHeight="1">
      <c r="B408" s="5"/>
      <c r="D408" s="5"/>
      <c r="F408" s="5"/>
      <c r="H408" s="5"/>
      <c r="J408" s="5"/>
      <c r="L408" s="5"/>
    </row>
    <row r="409" spans="2:12" ht="18" customHeight="1">
      <c r="B409" s="5"/>
      <c r="D409" s="5"/>
      <c r="F409" s="5"/>
      <c r="H409" s="5"/>
      <c r="J409" s="5"/>
      <c r="L409" s="5"/>
    </row>
    <row r="410" spans="2:12" ht="18" customHeight="1">
      <c r="B410" s="5"/>
      <c r="D410" s="5"/>
      <c r="F410" s="5"/>
      <c r="H410" s="5"/>
      <c r="J410" s="5"/>
      <c r="L410" s="5"/>
    </row>
    <row r="411" spans="2:12" ht="18" customHeight="1">
      <c r="B411" s="5"/>
      <c r="D411" s="5"/>
      <c r="F411" s="5"/>
      <c r="H411" s="5"/>
      <c r="J411" s="5"/>
      <c r="L411" s="5"/>
    </row>
    <row r="412" spans="2:12" ht="18" customHeight="1">
      <c r="B412" s="5"/>
      <c r="D412" s="5"/>
      <c r="F412" s="5"/>
      <c r="H412" s="5"/>
      <c r="J412" s="5"/>
      <c r="L412" s="5"/>
    </row>
    <row r="413" spans="2:12" ht="18" customHeight="1">
      <c r="B413" s="5"/>
      <c r="D413" s="5"/>
      <c r="F413" s="5"/>
      <c r="H413" s="5"/>
      <c r="J413" s="5"/>
      <c r="L413" s="5"/>
    </row>
    <row r="414" spans="2:12" ht="18" customHeight="1">
      <c r="B414" s="5"/>
      <c r="D414" s="5"/>
      <c r="F414" s="5"/>
      <c r="H414" s="5"/>
      <c r="J414" s="5"/>
      <c r="L414" s="5"/>
    </row>
    <row r="415" spans="2:12" ht="18" customHeight="1">
      <c r="B415" s="5"/>
      <c r="D415" s="5"/>
      <c r="F415" s="5"/>
      <c r="H415" s="5"/>
      <c r="J415" s="5"/>
      <c r="L415" s="5"/>
    </row>
    <row r="416" spans="2:12" ht="18" customHeight="1">
      <c r="B416" s="5"/>
      <c r="D416" s="5"/>
      <c r="F416" s="5"/>
      <c r="H416" s="5"/>
      <c r="J416" s="5"/>
      <c r="L416" s="5"/>
    </row>
    <row r="417" spans="2:12" ht="18" customHeight="1">
      <c r="B417" s="5"/>
      <c r="D417" s="5"/>
      <c r="F417" s="5"/>
      <c r="H417" s="5"/>
      <c r="J417" s="5"/>
      <c r="L417" s="5"/>
    </row>
    <row r="418" spans="2:12" ht="18" customHeight="1">
      <c r="B418" s="5"/>
      <c r="D418" s="5"/>
      <c r="F418" s="5"/>
      <c r="H418" s="5"/>
      <c r="J418" s="5"/>
      <c r="L418" s="5"/>
    </row>
    <row r="419" spans="2:12" ht="18" customHeight="1">
      <c r="B419" s="5"/>
      <c r="D419" s="5"/>
      <c r="F419" s="5"/>
      <c r="H419" s="5"/>
      <c r="J419" s="5"/>
      <c r="L419" s="5"/>
    </row>
    <row r="420" spans="2:12" ht="18" customHeight="1">
      <c r="B420" s="5"/>
      <c r="D420" s="5"/>
      <c r="F420" s="5"/>
      <c r="H420" s="5"/>
      <c r="J420" s="5"/>
      <c r="L420" s="5"/>
    </row>
    <row r="421" spans="2:12" ht="18" customHeight="1">
      <c r="B421" s="5"/>
      <c r="D421" s="5"/>
      <c r="F421" s="5"/>
      <c r="H421" s="5"/>
      <c r="J421" s="5"/>
      <c r="L421" s="5"/>
    </row>
    <row r="422" spans="2:12" ht="18" customHeight="1">
      <c r="B422" s="5"/>
      <c r="D422" s="5"/>
      <c r="F422" s="5"/>
      <c r="H422" s="5"/>
      <c r="J422" s="5"/>
      <c r="L422" s="5"/>
    </row>
    <row r="423" spans="2:12" ht="18" customHeight="1">
      <c r="B423" s="5"/>
      <c r="D423" s="5"/>
      <c r="F423" s="5"/>
      <c r="H423" s="5"/>
      <c r="J423" s="5"/>
      <c r="L423" s="5"/>
    </row>
    <row r="424" spans="2:12" ht="18" customHeight="1">
      <c r="B424" s="5"/>
      <c r="D424" s="5"/>
      <c r="F424" s="5"/>
      <c r="H424" s="5"/>
      <c r="J424" s="5"/>
      <c r="L424" s="5"/>
    </row>
    <row r="425" spans="2:12" ht="18" customHeight="1">
      <c r="B425" s="5"/>
      <c r="D425" s="5"/>
      <c r="F425" s="5"/>
      <c r="H425" s="5"/>
      <c r="J425" s="5"/>
      <c r="L425" s="5"/>
    </row>
    <row r="426" spans="2:12" ht="18" customHeight="1">
      <c r="B426" s="5"/>
      <c r="D426" s="5"/>
      <c r="F426" s="5"/>
      <c r="H426" s="5"/>
      <c r="J426" s="5"/>
      <c r="L426" s="5"/>
    </row>
    <row r="427" spans="2:12" ht="18" customHeight="1">
      <c r="B427" s="5"/>
      <c r="D427" s="5"/>
      <c r="F427" s="5"/>
      <c r="H427" s="5"/>
      <c r="J427" s="5"/>
      <c r="L427" s="5"/>
    </row>
    <row r="428" spans="2:12" ht="18" customHeight="1">
      <c r="B428" s="5"/>
      <c r="D428" s="5"/>
      <c r="F428" s="5"/>
      <c r="H428" s="5"/>
      <c r="J428" s="5"/>
      <c r="L428" s="5"/>
    </row>
    <row r="429" spans="2:12" ht="18" customHeight="1">
      <c r="B429" s="5"/>
      <c r="D429" s="5"/>
      <c r="F429" s="5"/>
      <c r="H429" s="5"/>
      <c r="J429" s="5"/>
      <c r="L429" s="5"/>
    </row>
    <row r="430" spans="2:12" ht="18" customHeight="1">
      <c r="B430" s="5"/>
      <c r="D430" s="5"/>
      <c r="F430" s="5"/>
      <c r="H430" s="5"/>
      <c r="J430" s="5"/>
      <c r="L430" s="5"/>
    </row>
    <row r="431" spans="2:12" ht="18" customHeight="1">
      <c r="B431" s="5"/>
      <c r="D431" s="5"/>
      <c r="F431" s="5"/>
      <c r="H431" s="5"/>
      <c r="J431" s="5"/>
      <c r="L431" s="5"/>
    </row>
    <row r="432" spans="2:12" ht="18" customHeight="1">
      <c r="B432" s="5"/>
      <c r="D432" s="5"/>
      <c r="F432" s="5"/>
      <c r="H432" s="5"/>
      <c r="J432" s="5"/>
      <c r="L432" s="5"/>
    </row>
    <row r="433" spans="2:12" ht="18" customHeight="1">
      <c r="B433" s="5"/>
      <c r="D433" s="5"/>
      <c r="F433" s="5"/>
      <c r="H433" s="5"/>
      <c r="J433" s="5"/>
      <c r="L433" s="5"/>
    </row>
    <row r="434" spans="2:12" ht="18" customHeight="1">
      <c r="B434" s="5"/>
      <c r="D434" s="5"/>
      <c r="F434" s="5"/>
      <c r="H434" s="5"/>
      <c r="J434" s="5"/>
      <c r="L434" s="5"/>
    </row>
    <row r="435" spans="2:12" ht="18" customHeight="1">
      <c r="B435" s="5"/>
      <c r="D435" s="5"/>
      <c r="F435" s="5"/>
      <c r="H435" s="5"/>
      <c r="J435" s="5"/>
      <c r="L435" s="5"/>
    </row>
    <row r="436" spans="2:12" ht="18" customHeight="1">
      <c r="B436" s="5"/>
      <c r="D436" s="5"/>
      <c r="F436" s="5"/>
      <c r="H436" s="5"/>
      <c r="J436" s="5"/>
      <c r="L436" s="5"/>
    </row>
    <row r="437" spans="2:12" ht="18" customHeight="1">
      <c r="B437" s="5"/>
      <c r="D437" s="5"/>
      <c r="F437" s="5"/>
      <c r="H437" s="5"/>
      <c r="J437" s="5"/>
      <c r="L437" s="5"/>
    </row>
    <row r="438" spans="2:12" ht="18" customHeight="1">
      <c r="B438" s="5"/>
      <c r="D438" s="5"/>
      <c r="F438" s="5"/>
      <c r="H438" s="5"/>
      <c r="J438" s="5"/>
      <c r="L438" s="5"/>
    </row>
    <row r="439" spans="2:12" ht="18" customHeight="1">
      <c r="B439" s="5"/>
      <c r="D439" s="5"/>
      <c r="F439" s="5"/>
      <c r="H439" s="5"/>
      <c r="J439" s="5"/>
      <c r="L439" s="5"/>
    </row>
    <row r="440" spans="2:12" ht="18" customHeight="1">
      <c r="B440" s="5"/>
      <c r="D440" s="5"/>
      <c r="F440" s="5"/>
      <c r="H440" s="5"/>
      <c r="J440" s="5"/>
      <c r="L440" s="5"/>
    </row>
    <row r="441" spans="2:12" ht="18" customHeight="1">
      <c r="B441" s="5"/>
      <c r="D441" s="5"/>
      <c r="F441" s="5"/>
      <c r="H441" s="5"/>
      <c r="J441" s="5"/>
      <c r="L441" s="5"/>
    </row>
    <row r="442" spans="2:12" ht="18" customHeight="1">
      <c r="B442" s="5"/>
      <c r="D442" s="5"/>
      <c r="F442" s="5"/>
      <c r="H442" s="5"/>
      <c r="J442" s="5"/>
      <c r="L442" s="5"/>
    </row>
    <row r="443" spans="2:12" ht="18" customHeight="1">
      <c r="B443" s="5"/>
      <c r="D443" s="5"/>
      <c r="F443" s="5"/>
      <c r="H443" s="5"/>
      <c r="J443" s="5"/>
      <c r="L443" s="5"/>
    </row>
    <row r="444" spans="2:12" ht="18" customHeight="1">
      <c r="B444" s="5"/>
      <c r="D444" s="5"/>
      <c r="F444" s="5"/>
      <c r="H444" s="5"/>
      <c r="J444" s="5"/>
      <c r="L444" s="5"/>
    </row>
    <row r="445" spans="2:12" ht="18" customHeight="1">
      <c r="B445" s="5"/>
      <c r="D445" s="5"/>
      <c r="F445" s="5"/>
      <c r="H445" s="5"/>
      <c r="J445" s="5"/>
      <c r="L445" s="5"/>
    </row>
    <row r="446" spans="2:12" ht="18" customHeight="1">
      <c r="B446" s="5"/>
      <c r="D446" s="5"/>
      <c r="F446" s="5"/>
      <c r="H446" s="5"/>
      <c r="J446" s="5"/>
      <c r="L446" s="5"/>
    </row>
    <row r="447" spans="2:12" ht="18" customHeight="1">
      <c r="B447" s="5"/>
      <c r="D447" s="5"/>
      <c r="F447" s="5"/>
      <c r="H447" s="5"/>
      <c r="J447" s="5"/>
      <c r="L447" s="5"/>
    </row>
    <row r="448" spans="2:12" ht="18" customHeight="1">
      <c r="B448" s="5"/>
      <c r="D448" s="5"/>
      <c r="F448" s="5"/>
      <c r="H448" s="5"/>
      <c r="J448" s="5"/>
      <c r="L448" s="5"/>
    </row>
    <row r="449" spans="2:12" ht="18" customHeight="1">
      <c r="B449" s="5"/>
      <c r="D449" s="5"/>
      <c r="F449" s="5"/>
      <c r="H449" s="5"/>
      <c r="J449" s="5"/>
      <c r="L449" s="5"/>
    </row>
    <row r="450" spans="2:12" ht="18" customHeight="1">
      <c r="B450" s="5"/>
      <c r="D450" s="5"/>
      <c r="F450" s="5"/>
      <c r="H450" s="5"/>
      <c r="J450" s="5"/>
      <c r="L450" s="5"/>
    </row>
    <row r="451" spans="2:12" ht="18" customHeight="1">
      <c r="B451" s="5"/>
      <c r="D451" s="5"/>
      <c r="F451" s="5"/>
      <c r="H451" s="5"/>
      <c r="J451" s="5"/>
      <c r="L451" s="5"/>
    </row>
    <row r="452" spans="2:12" ht="18" customHeight="1">
      <c r="B452" s="5"/>
      <c r="D452" s="5"/>
      <c r="F452" s="5"/>
      <c r="H452" s="5"/>
      <c r="J452" s="5"/>
      <c r="L452" s="5"/>
    </row>
    <row r="453" spans="2:12" ht="18" customHeight="1">
      <c r="B453" s="5"/>
      <c r="D453" s="5"/>
      <c r="F453" s="5"/>
      <c r="H453" s="5"/>
      <c r="J453" s="5"/>
      <c r="L453" s="5"/>
    </row>
    <row r="454" spans="2:12" ht="18" customHeight="1">
      <c r="B454" s="5"/>
      <c r="D454" s="5"/>
      <c r="F454" s="5"/>
      <c r="H454" s="5"/>
      <c r="J454" s="5"/>
      <c r="L454" s="5"/>
    </row>
    <row r="455" spans="2:12" ht="18" customHeight="1">
      <c r="B455" s="5"/>
      <c r="D455" s="5"/>
      <c r="F455" s="5"/>
      <c r="H455" s="5"/>
      <c r="J455" s="5"/>
      <c r="L455" s="5"/>
    </row>
    <row r="456" spans="2:12" ht="18" customHeight="1">
      <c r="B456" s="5"/>
      <c r="D456" s="5"/>
      <c r="F456" s="5"/>
      <c r="H456" s="5"/>
      <c r="J456" s="5"/>
      <c r="L456" s="5"/>
    </row>
    <row r="457" spans="2:12" ht="18" customHeight="1">
      <c r="B457" s="5"/>
      <c r="D457" s="5"/>
      <c r="F457" s="5"/>
      <c r="H457" s="5"/>
      <c r="J457" s="5"/>
      <c r="L457" s="5"/>
    </row>
    <row r="458" spans="2:12" ht="18" customHeight="1">
      <c r="B458" s="5"/>
      <c r="D458" s="5"/>
      <c r="F458" s="5"/>
      <c r="H458" s="5"/>
      <c r="J458" s="5"/>
      <c r="L458" s="5"/>
    </row>
    <row r="459" spans="2:12" ht="18" customHeight="1">
      <c r="B459" s="5"/>
      <c r="D459" s="5"/>
      <c r="F459" s="5"/>
      <c r="H459" s="5"/>
      <c r="J459" s="5"/>
      <c r="L459" s="5"/>
    </row>
    <row r="460" spans="2:12" ht="18" customHeight="1">
      <c r="B460" s="5"/>
      <c r="D460" s="5"/>
      <c r="F460" s="5"/>
      <c r="H460" s="5"/>
      <c r="J460" s="5"/>
      <c r="L460" s="5"/>
    </row>
    <row r="461" spans="2:12" ht="18" customHeight="1">
      <c r="B461" s="5"/>
      <c r="D461" s="5"/>
      <c r="F461" s="5"/>
      <c r="H461" s="5"/>
      <c r="J461" s="5"/>
      <c r="L461" s="5"/>
    </row>
    <row r="462" spans="2:12" ht="18" customHeight="1">
      <c r="B462" s="5"/>
      <c r="D462" s="5"/>
      <c r="F462" s="5"/>
      <c r="H462" s="5"/>
      <c r="J462" s="5"/>
      <c r="L462" s="5"/>
    </row>
    <row r="463" spans="2:12" ht="18" customHeight="1">
      <c r="B463" s="5"/>
      <c r="D463" s="5"/>
      <c r="F463" s="5"/>
      <c r="H463" s="5"/>
      <c r="J463" s="5"/>
      <c r="L463" s="5"/>
    </row>
    <row r="464" spans="2:12" ht="18" customHeight="1">
      <c r="B464" s="5"/>
      <c r="D464" s="5"/>
      <c r="F464" s="5"/>
      <c r="H464" s="5"/>
      <c r="J464" s="5"/>
      <c r="L464" s="5"/>
    </row>
    <row r="465" spans="2:12" ht="18" customHeight="1">
      <c r="B465" s="5"/>
      <c r="D465" s="5"/>
      <c r="F465" s="5"/>
      <c r="H465" s="5"/>
      <c r="J465" s="5"/>
      <c r="L465" s="5"/>
    </row>
    <row r="466" spans="2:12" ht="18" customHeight="1">
      <c r="B466" s="5"/>
      <c r="D466" s="5"/>
      <c r="F466" s="5"/>
      <c r="H466" s="5"/>
      <c r="J466" s="5"/>
      <c r="L466" s="5"/>
    </row>
    <row r="467" spans="2:12" ht="18" customHeight="1">
      <c r="B467" s="5"/>
      <c r="D467" s="5"/>
      <c r="F467" s="5"/>
      <c r="H467" s="5"/>
      <c r="J467" s="5"/>
      <c r="L467" s="5"/>
    </row>
    <row r="468" spans="2:12" ht="18" customHeight="1">
      <c r="B468" s="5"/>
      <c r="D468" s="5"/>
      <c r="F468" s="5"/>
      <c r="H468" s="5"/>
      <c r="J468" s="5"/>
      <c r="L468" s="5"/>
    </row>
    <row r="469" spans="2:12" ht="18" customHeight="1">
      <c r="B469" s="5"/>
      <c r="D469" s="5"/>
      <c r="F469" s="5"/>
      <c r="H469" s="5"/>
      <c r="J469" s="5"/>
      <c r="L469" s="5"/>
    </row>
    <row r="470" spans="2:12" ht="18" customHeight="1">
      <c r="B470" s="5"/>
      <c r="D470" s="5"/>
      <c r="F470" s="5"/>
      <c r="H470" s="5"/>
      <c r="J470" s="5"/>
      <c r="L470" s="5"/>
    </row>
    <row r="471" spans="2:12" ht="18" customHeight="1">
      <c r="B471" s="5"/>
      <c r="D471" s="5"/>
      <c r="F471" s="5"/>
      <c r="H471" s="5"/>
      <c r="J471" s="5"/>
      <c r="L471" s="5"/>
    </row>
    <row r="472" spans="2:12" ht="18" customHeight="1">
      <c r="B472" s="5"/>
      <c r="D472" s="5"/>
      <c r="F472" s="5"/>
      <c r="H472" s="5"/>
      <c r="J472" s="5"/>
      <c r="L472" s="5"/>
    </row>
    <row r="473" spans="2:12" ht="18" customHeight="1">
      <c r="B473" s="5"/>
      <c r="D473" s="5"/>
      <c r="F473" s="5"/>
      <c r="H473" s="5"/>
      <c r="J473" s="5"/>
      <c r="L473" s="5"/>
    </row>
    <row r="474" spans="2:12" ht="18" customHeight="1">
      <c r="B474" s="5"/>
      <c r="D474" s="5"/>
      <c r="F474" s="5"/>
      <c r="H474" s="5"/>
      <c r="J474" s="5"/>
      <c r="L474" s="5"/>
    </row>
    <row r="475" spans="2:12" ht="18" customHeight="1">
      <c r="B475" s="5"/>
      <c r="D475" s="5"/>
      <c r="F475" s="5"/>
      <c r="H475" s="5"/>
      <c r="J475" s="5"/>
      <c r="L475" s="5"/>
    </row>
    <row r="476" spans="2:12" ht="18" customHeight="1">
      <c r="B476" s="5"/>
      <c r="D476" s="5"/>
      <c r="F476" s="5"/>
      <c r="H476" s="5"/>
      <c r="J476" s="5"/>
      <c r="L476" s="5"/>
    </row>
    <row r="477" spans="2:12" ht="18" customHeight="1">
      <c r="B477" s="5"/>
      <c r="D477" s="5"/>
      <c r="F477" s="5"/>
      <c r="H477" s="5"/>
      <c r="J477" s="5"/>
      <c r="L477" s="5"/>
    </row>
    <row r="478" spans="2:12" ht="18" customHeight="1">
      <c r="B478" s="5"/>
      <c r="D478" s="5"/>
      <c r="F478" s="5"/>
      <c r="H478" s="5"/>
      <c r="J478" s="5"/>
      <c r="L478" s="5"/>
    </row>
    <row r="479" spans="2:12" ht="18" customHeight="1">
      <c r="B479" s="5"/>
      <c r="D479" s="5"/>
      <c r="F479" s="5"/>
      <c r="H479" s="5"/>
      <c r="J479" s="5"/>
      <c r="L479" s="5"/>
    </row>
    <row r="480" spans="2:12" ht="18" customHeight="1">
      <c r="B480" s="5"/>
      <c r="D480" s="5"/>
      <c r="F480" s="5"/>
      <c r="H480" s="5"/>
      <c r="J480" s="5"/>
      <c r="L480" s="5"/>
    </row>
    <row r="481" spans="2:12" ht="18" customHeight="1">
      <c r="B481" s="5"/>
      <c r="D481" s="5"/>
      <c r="F481" s="5"/>
      <c r="H481" s="5"/>
      <c r="J481" s="5"/>
      <c r="L481" s="5"/>
    </row>
    <row r="482" spans="2:12" ht="18" customHeight="1">
      <c r="B482" s="5"/>
      <c r="D482" s="5"/>
      <c r="F482" s="5"/>
      <c r="H482" s="5"/>
      <c r="J482" s="5"/>
      <c r="L482" s="5"/>
    </row>
    <row r="483" spans="2:12" ht="18" customHeight="1">
      <c r="B483" s="5"/>
      <c r="D483" s="5"/>
      <c r="F483" s="5"/>
      <c r="H483" s="5"/>
      <c r="J483" s="5"/>
      <c r="L483" s="5"/>
    </row>
    <row r="484" spans="2:12" ht="18" customHeight="1">
      <c r="B484" s="5"/>
      <c r="D484" s="5"/>
      <c r="F484" s="5"/>
      <c r="H484" s="5"/>
      <c r="J484" s="5"/>
      <c r="L484" s="5"/>
    </row>
    <row r="485" spans="2:12" ht="18" customHeight="1">
      <c r="B485" s="5"/>
      <c r="D485" s="5"/>
      <c r="F485" s="5"/>
      <c r="H485" s="5"/>
      <c r="J485" s="5"/>
      <c r="L485" s="5"/>
    </row>
    <row r="486" spans="2:12" ht="18" customHeight="1">
      <c r="B486" s="5"/>
      <c r="D486" s="5"/>
      <c r="F486" s="5"/>
      <c r="H486" s="5"/>
      <c r="J486" s="5"/>
      <c r="L486" s="5"/>
    </row>
    <row r="487" spans="2:12" ht="18" customHeight="1">
      <c r="B487" s="5"/>
      <c r="D487" s="5"/>
      <c r="F487" s="5"/>
      <c r="H487" s="5"/>
      <c r="J487" s="5"/>
      <c r="L487" s="5"/>
    </row>
    <row r="488" spans="2:12" ht="18" customHeight="1">
      <c r="B488" s="5"/>
      <c r="D488" s="5"/>
      <c r="F488" s="5"/>
      <c r="H488" s="5"/>
      <c r="J488" s="5"/>
      <c r="L488" s="5"/>
    </row>
    <row r="489" spans="2:12" ht="18" customHeight="1">
      <c r="B489" s="5"/>
      <c r="D489" s="5"/>
      <c r="F489" s="5"/>
      <c r="H489" s="5"/>
      <c r="J489" s="5"/>
      <c r="L489" s="5"/>
    </row>
    <row r="490" spans="2:12" ht="18" customHeight="1">
      <c r="B490" s="5"/>
      <c r="D490" s="5"/>
      <c r="F490" s="5"/>
      <c r="H490" s="5"/>
      <c r="J490" s="5"/>
      <c r="L490" s="5"/>
    </row>
    <row r="491" spans="2:12" ht="18" customHeight="1">
      <c r="B491" s="5"/>
      <c r="D491" s="5"/>
      <c r="F491" s="5"/>
      <c r="H491" s="5"/>
      <c r="J491" s="5"/>
      <c r="L491" s="5"/>
    </row>
    <row r="492" spans="2:12" ht="18" customHeight="1">
      <c r="B492" s="5"/>
      <c r="D492" s="5"/>
      <c r="F492" s="5"/>
      <c r="H492" s="5"/>
      <c r="J492" s="5"/>
      <c r="L492" s="5"/>
    </row>
    <row r="493" spans="2:12" ht="18" customHeight="1">
      <c r="B493" s="5"/>
      <c r="D493" s="5"/>
      <c r="F493" s="5"/>
      <c r="H493" s="5"/>
      <c r="J493" s="5"/>
      <c r="L493" s="5"/>
    </row>
    <row r="494" spans="2:12" ht="18" customHeight="1">
      <c r="B494" s="5"/>
      <c r="D494" s="5"/>
      <c r="F494" s="5"/>
      <c r="H494" s="5"/>
      <c r="J494" s="5"/>
      <c r="L494" s="5"/>
    </row>
    <row r="495" spans="2:12" ht="18" customHeight="1">
      <c r="B495" s="5"/>
      <c r="D495" s="5"/>
      <c r="F495" s="5"/>
      <c r="H495" s="5"/>
      <c r="J495" s="5"/>
      <c r="L495" s="5"/>
    </row>
    <row r="496" spans="2:12" ht="18" customHeight="1">
      <c r="B496" s="5"/>
      <c r="D496" s="5"/>
      <c r="F496" s="5"/>
      <c r="H496" s="5"/>
      <c r="J496" s="5"/>
      <c r="L496" s="5"/>
    </row>
    <row r="497" spans="2:12" ht="18" customHeight="1">
      <c r="B497" s="5"/>
      <c r="D497" s="5"/>
      <c r="F497" s="5"/>
      <c r="H497" s="5"/>
      <c r="J497" s="5"/>
      <c r="L497" s="5"/>
    </row>
    <row r="498" spans="2:12" ht="18" customHeight="1">
      <c r="B498" s="5"/>
      <c r="D498" s="5"/>
      <c r="F498" s="5"/>
      <c r="H498" s="5"/>
      <c r="J498" s="5"/>
      <c r="L498" s="5"/>
    </row>
    <row r="499" spans="2:12" ht="18" customHeight="1">
      <c r="B499" s="5"/>
      <c r="D499" s="5"/>
      <c r="F499" s="5"/>
      <c r="H499" s="5"/>
      <c r="J499" s="5"/>
      <c r="L499" s="5"/>
    </row>
    <row r="500" spans="2:12" ht="18" customHeight="1">
      <c r="B500" s="5"/>
      <c r="D500" s="5"/>
      <c r="F500" s="5"/>
      <c r="H500" s="5"/>
      <c r="J500" s="5"/>
      <c r="L500" s="5"/>
    </row>
    <row r="501" spans="2:12" ht="18" customHeight="1">
      <c r="B501" s="5"/>
      <c r="D501" s="5"/>
      <c r="F501" s="5"/>
      <c r="H501" s="5"/>
      <c r="J501" s="5"/>
      <c r="L501" s="5"/>
    </row>
    <row r="502" spans="2:12" ht="18" customHeight="1">
      <c r="B502" s="5"/>
      <c r="D502" s="5"/>
      <c r="F502" s="5"/>
      <c r="H502" s="5"/>
      <c r="J502" s="5"/>
      <c r="L502" s="5"/>
    </row>
    <row r="503" spans="2:12" ht="18" customHeight="1">
      <c r="B503" s="5"/>
      <c r="D503" s="5"/>
      <c r="F503" s="5"/>
      <c r="H503" s="5"/>
      <c r="J503" s="5"/>
      <c r="L503" s="5"/>
    </row>
    <row r="504" spans="2:12" ht="18" customHeight="1">
      <c r="B504" s="5"/>
      <c r="D504" s="5"/>
      <c r="F504" s="5"/>
      <c r="H504" s="5"/>
      <c r="J504" s="5"/>
      <c r="L504" s="5"/>
    </row>
    <row r="505" spans="2:12" ht="18" customHeight="1">
      <c r="B505" s="5"/>
      <c r="D505" s="5"/>
      <c r="F505" s="5"/>
      <c r="H505" s="5"/>
      <c r="J505" s="5"/>
      <c r="L505" s="5"/>
    </row>
    <row r="506" spans="2:12" ht="18" customHeight="1">
      <c r="B506" s="5"/>
      <c r="D506" s="5"/>
      <c r="F506" s="5"/>
      <c r="H506" s="5"/>
      <c r="J506" s="5"/>
      <c r="L506" s="5"/>
    </row>
    <row r="507" spans="2:12" ht="18" customHeight="1">
      <c r="B507" s="5"/>
      <c r="D507" s="5"/>
      <c r="F507" s="5"/>
      <c r="H507" s="5"/>
      <c r="J507" s="5"/>
      <c r="L507" s="5"/>
    </row>
    <row r="508" spans="2:12" ht="18" customHeight="1">
      <c r="B508" s="5"/>
      <c r="D508" s="5"/>
      <c r="F508" s="5"/>
      <c r="H508" s="5"/>
      <c r="J508" s="5"/>
      <c r="L508" s="5"/>
    </row>
    <row r="509" spans="2:12" ht="18" customHeight="1">
      <c r="B509" s="5"/>
      <c r="D509" s="5"/>
      <c r="F509" s="5"/>
      <c r="H509" s="5"/>
      <c r="J509" s="5"/>
      <c r="L509" s="5"/>
    </row>
    <row r="510" spans="2:12" ht="18" customHeight="1">
      <c r="B510" s="5"/>
      <c r="D510" s="5"/>
      <c r="F510" s="5"/>
      <c r="H510" s="5"/>
      <c r="J510" s="5"/>
      <c r="L510" s="5"/>
    </row>
    <row r="511" spans="2:12" ht="18" customHeight="1">
      <c r="B511" s="5"/>
      <c r="D511" s="5"/>
      <c r="F511" s="5"/>
      <c r="H511" s="5"/>
      <c r="J511" s="5"/>
      <c r="L511" s="5"/>
    </row>
    <row r="512" spans="2:12" ht="18" customHeight="1">
      <c r="B512" s="5"/>
      <c r="D512" s="5"/>
      <c r="F512" s="5"/>
      <c r="H512" s="5"/>
      <c r="J512" s="5"/>
      <c r="L512" s="5"/>
    </row>
    <row r="513" spans="2:12" ht="18" customHeight="1">
      <c r="B513" s="5"/>
      <c r="D513" s="5"/>
      <c r="F513" s="5"/>
      <c r="H513" s="5"/>
      <c r="J513" s="5"/>
      <c r="L513" s="5"/>
    </row>
    <row r="514" spans="2:12" ht="18" customHeight="1">
      <c r="B514" s="5"/>
      <c r="D514" s="5"/>
      <c r="F514" s="5"/>
      <c r="H514" s="5"/>
      <c r="J514" s="5"/>
      <c r="L514" s="5"/>
    </row>
    <row r="515" spans="2:12" ht="18" customHeight="1">
      <c r="B515" s="5"/>
      <c r="D515" s="5"/>
      <c r="F515" s="5"/>
      <c r="H515" s="5"/>
      <c r="J515" s="5"/>
      <c r="L515" s="5"/>
    </row>
    <row r="516" spans="2:12" ht="18" customHeight="1">
      <c r="B516" s="5"/>
      <c r="D516" s="5"/>
      <c r="F516" s="5"/>
      <c r="H516" s="5"/>
      <c r="J516" s="5"/>
      <c r="L516" s="5"/>
    </row>
    <row r="517" spans="2:12" ht="18" customHeight="1">
      <c r="B517" s="5"/>
      <c r="D517" s="5"/>
      <c r="F517" s="5"/>
      <c r="H517" s="5"/>
      <c r="J517" s="5"/>
      <c r="L517" s="5"/>
    </row>
    <row r="518" spans="2:12" ht="18" customHeight="1">
      <c r="B518" s="5"/>
      <c r="D518" s="5"/>
      <c r="F518" s="5"/>
      <c r="H518" s="5"/>
      <c r="J518" s="5"/>
      <c r="L518" s="5"/>
    </row>
    <row r="519" spans="2:12" ht="18" customHeight="1">
      <c r="B519" s="5"/>
      <c r="D519" s="5"/>
      <c r="F519" s="5"/>
      <c r="H519" s="5"/>
      <c r="J519" s="5"/>
      <c r="L519" s="5"/>
    </row>
    <row r="520" spans="2:12" ht="18" customHeight="1">
      <c r="B520" s="5"/>
      <c r="D520" s="5"/>
      <c r="F520" s="5"/>
      <c r="H520" s="5"/>
      <c r="J520" s="5"/>
      <c r="L520" s="5"/>
    </row>
    <row r="521" spans="2:12" ht="18" customHeight="1">
      <c r="B521" s="5"/>
      <c r="D521" s="5"/>
      <c r="F521" s="5"/>
      <c r="H521" s="5"/>
      <c r="J521" s="5"/>
      <c r="L521" s="5"/>
    </row>
    <row r="522" spans="2:12" ht="18" customHeight="1">
      <c r="B522" s="5"/>
      <c r="D522" s="5"/>
      <c r="F522" s="5"/>
      <c r="H522" s="5"/>
      <c r="J522" s="5"/>
      <c r="L522" s="5"/>
    </row>
    <row r="523" spans="2:12" ht="18" customHeight="1">
      <c r="B523" s="5"/>
      <c r="D523" s="5"/>
      <c r="F523" s="5"/>
      <c r="H523" s="5"/>
      <c r="J523" s="5"/>
      <c r="L523" s="5"/>
    </row>
    <row r="524" spans="2:12" ht="18" customHeight="1">
      <c r="B524" s="5"/>
      <c r="D524" s="5"/>
      <c r="F524" s="5"/>
      <c r="H524" s="5"/>
      <c r="J524" s="5"/>
      <c r="L524" s="5"/>
    </row>
    <row r="525" spans="2:12" ht="18" customHeight="1">
      <c r="B525" s="5"/>
      <c r="D525" s="5"/>
      <c r="F525" s="5"/>
      <c r="H525" s="5"/>
      <c r="J525" s="5"/>
      <c r="L525" s="5"/>
    </row>
    <row r="526" spans="2:12" ht="18" customHeight="1">
      <c r="B526" s="5"/>
      <c r="D526" s="5"/>
      <c r="F526" s="5"/>
      <c r="H526" s="5"/>
      <c r="J526" s="5"/>
      <c r="L526" s="5"/>
    </row>
    <row r="527" spans="2:12" ht="18" customHeight="1">
      <c r="B527" s="5"/>
      <c r="D527" s="5"/>
      <c r="F527" s="5"/>
      <c r="H527" s="5"/>
      <c r="J527" s="5"/>
      <c r="L527" s="5"/>
    </row>
    <row r="528" spans="2:12" ht="18" customHeight="1">
      <c r="B528" s="5"/>
      <c r="D528" s="5"/>
      <c r="F528" s="5"/>
      <c r="H528" s="5"/>
      <c r="J528" s="5"/>
      <c r="L528" s="5"/>
    </row>
    <row r="529" spans="2:12" ht="18" customHeight="1">
      <c r="B529" s="5"/>
      <c r="D529" s="5"/>
      <c r="F529" s="5"/>
      <c r="H529" s="5"/>
      <c r="J529" s="5"/>
      <c r="L529" s="5"/>
    </row>
    <row r="530" spans="2:12" ht="18" customHeight="1">
      <c r="B530" s="5"/>
      <c r="D530" s="5"/>
      <c r="F530" s="5"/>
      <c r="H530" s="5"/>
      <c r="J530" s="5"/>
      <c r="L530" s="5"/>
    </row>
    <row r="531" spans="2:12" ht="18" customHeight="1">
      <c r="B531" s="5"/>
      <c r="D531" s="5"/>
      <c r="F531" s="5"/>
      <c r="H531" s="5"/>
      <c r="J531" s="5"/>
      <c r="L531" s="5"/>
    </row>
    <row r="532" spans="2:12" ht="18" customHeight="1">
      <c r="B532" s="5"/>
      <c r="D532" s="5"/>
      <c r="F532" s="5"/>
      <c r="H532" s="5"/>
      <c r="J532" s="5"/>
      <c r="L532" s="5"/>
    </row>
    <row r="533" spans="2:12" ht="18" customHeight="1">
      <c r="B533" s="5"/>
      <c r="D533" s="5"/>
      <c r="F533" s="5"/>
      <c r="H533" s="5"/>
      <c r="J533" s="5"/>
      <c r="L533" s="5"/>
    </row>
    <row r="534" spans="2:12" ht="18" customHeight="1">
      <c r="B534" s="5"/>
      <c r="D534" s="5"/>
      <c r="F534" s="5"/>
      <c r="H534" s="5"/>
      <c r="J534" s="5"/>
      <c r="L534" s="5"/>
    </row>
    <row r="535" spans="2:12" ht="18" customHeight="1">
      <c r="B535" s="5"/>
      <c r="D535" s="5"/>
      <c r="F535" s="5"/>
      <c r="H535" s="5"/>
      <c r="J535" s="5"/>
      <c r="L535" s="5"/>
    </row>
    <row r="536" spans="2:12" ht="18" customHeight="1">
      <c r="B536" s="5"/>
      <c r="D536" s="5"/>
      <c r="F536" s="5"/>
      <c r="H536" s="5"/>
      <c r="J536" s="5"/>
      <c r="L536" s="5"/>
    </row>
    <row r="537" spans="2:12" ht="18" customHeight="1">
      <c r="B537" s="5"/>
      <c r="D537" s="5"/>
      <c r="F537" s="5"/>
      <c r="H537" s="5"/>
      <c r="J537" s="5"/>
      <c r="L537" s="5"/>
    </row>
    <row r="538" spans="2:12" ht="18" customHeight="1">
      <c r="B538" s="5"/>
      <c r="D538" s="5"/>
      <c r="F538" s="5"/>
      <c r="H538" s="5"/>
      <c r="J538" s="5"/>
      <c r="L538" s="5"/>
    </row>
    <row r="539" spans="2:12" ht="18" customHeight="1">
      <c r="B539" s="5"/>
      <c r="D539" s="5"/>
      <c r="F539" s="5"/>
      <c r="H539" s="5"/>
      <c r="J539" s="5"/>
      <c r="L539" s="5"/>
    </row>
    <row r="540" spans="2:12" ht="18" customHeight="1">
      <c r="B540" s="5"/>
      <c r="D540" s="5"/>
      <c r="F540" s="5"/>
      <c r="H540" s="5"/>
      <c r="J540" s="5"/>
      <c r="L540" s="5"/>
    </row>
    <row r="541" spans="2:12" ht="18" customHeight="1">
      <c r="B541" s="5"/>
      <c r="D541" s="5"/>
      <c r="F541" s="5"/>
      <c r="H541" s="5"/>
      <c r="J541" s="5"/>
      <c r="L541" s="5"/>
    </row>
    <row r="542" spans="2:12" ht="18" customHeight="1">
      <c r="B542" s="5"/>
      <c r="D542" s="5"/>
      <c r="F542" s="5"/>
      <c r="H542" s="5"/>
      <c r="J542" s="5"/>
      <c r="L542" s="5"/>
    </row>
    <row r="543" spans="2:12" ht="18" customHeight="1">
      <c r="B543" s="5"/>
      <c r="D543" s="5"/>
      <c r="F543" s="5"/>
      <c r="H543" s="5"/>
      <c r="J543" s="5"/>
      <c r="L543" s="5"/>
    </row>
    <row r="544" spans="2:12" ht="18" customHeight="1">
      <c r="B544" s="5"/>
      <c r="D544" s="5"/>
      <c r="F544" s="5"/>
      <c r="H544" s="5"/>
      <c r="J544" s="5"/>
      <c r="L544" s="5"/>
    </row>
    <row r="545" spans="2:12" ht="18" customHeight="1">
      <c r="B545" s="5"/>
      <c r="D545" s="5"/>
      <c r="F545" s="5"/>
      <c r="H545" s="5"/>
      <c r="J545" s="5"/>
      <c r="L545" s="5"/>
    </row>
    <row r="546" spans="2:12" ht="18" customHeight="1">
      <c r="B546" s="5"/>
      <c r="D546" s="5"/>
      <c r="F546" s="5"/>
      <c r="H546" s="5"/>
      <c r="J546" s="5"/>
      <c r="L546" s="5"/>
    </row>
    <row r="547" spans="2:12" ht="18" customHeight="1">
      <c r="B547" s="5"/>
      <c r="D547" s="5"/>
      <c r="F547" s="5"/>
      <c r="H547" s="5"/>
      <c r="J547" s="5"/>
      <c r="L547" s="5"/>
    </row>
    <row r="548" spans="2:12" ht="18" customHeight="1">
      <c r="B548" s="5"/>
      <c r="D548" s="5"/>
      <c r="F548" s="5"/>
      <c r="H548" s="5"/>
      <c r="J548" s="5"/>
      <c r="L548" s="5"/>
    </row>
    <row r="549" spans="2:12" ht="18" customHeight="1">
      <c r="B549" s="5"/>
      <c r="D549" s="5"/>
      <c r="F549" s="5"/>
      <c r="H549" s="5"/>
      <c r="J549" s="5"/>
      <c r="L549" s="5"/>
    </row>
    <row r="550" spans="2:12" ht="18" customHeight="1">
      <c r="B550" s="5"/>
      <c r="D550" s="5"/>
      <c r="F550" s="5"/>
      <c r="H550" s="5"/>
      <c r="J550" s="5"/>
      <c r="L550" s="5"/>
    </row>
    <row r="551" spans="2:12" ht="18" customHeight="1">
      <c r="B551" s="5"/>
      <c r="D551" s="5"/>
      <c r="F551" s="5"/>
      <c r="H551" s="5"/>
      <c r="J551" s="5"/>
      <c r="L551" s="5"/>
    </row>
    <row r="552" spans="2:12" ht="18" customHeight="1">
      <c r="B552" s="5"/>
      <c r="D552" s="5"/>
      <c r="F552" s="5"/>
      <c r="H552" s="5"/>
      <c r="J552" s="5"/>
      <c r="L552" s="5"/>
    </row>
    <row r="553" spans="2:12" ht="18" customHeight="1">
      <c r="B553" s="5"/>
      <c r="D553" s="5"/>
      <c r="F553" s="5"/>
      <c r="H553" s="5"/>
      <c r="J553" s="5"/>
      <c r="L553" s="5"/>
    </row>
    <row r="554" spans="2:12" ht="18" customHeight="1">
      <c r="B554" s="5"/>
      <c r="D554" s="5"/>
      <c r="F554" s="5"/>
      <c r="H554" s="5"/>
      <c r="J554" s="5"/>
      <c r="L554" s="5"/>
    </row>
    <row r="555" spans="2:12" ht="18" customHeight="1">
      <c r="B555" s="5"/>
      <c r="D555" s="5"/>
      <c r="F555" s="5"/>
      <c r="H555" s="5"/>
      <c r="J555" s="5"/>
      <c r="L555" s="5"/>
    </row>
    <row r="556" spans="2:12" ht="18" customHeight="1">
      <c r="B556" s="5"/>
      <c r="D556" s="5"/>
      <c r="F556" s="5"/>
      <c r="H556" s="5"/>
      <c r="J556" s="5"/>
      <c r="L556" s="5"/>
    </row>
    <row r="557" spans="2:12" ht="18" customHeight="1">
      <c r="B557" s="5"/>
      <c r="D557" s="5"/>
      <c r="F557" s="5"/>
      <c r="H557" s="5"/>
      <c r="J557" s="5"/>
      <c r="L557" s="5"/>
    </row>
    <row r="558" spans="2:12" ht="18" customHeight="1">
      <c r="B558" s="5"/>
      <c r="D558" s="5"/>
      <c r="F558" s="5"/>
      <c r="H558" s="5"/>
      <c r="J558" s="5"/>
      <c r="L558" s="5"/>
    </row>
    <row r="559" spans="2:12" ht="18" customHeight="1">
      <c r="B559" s="5"/>
      <c r="D559" s="5"/>
      <c r="F559" s="5"/>
      <c r="H559" s="5"/>
      <c r="J559" s="5"/>
      <c r="L559" s="5"/>
    </row>
    <row r="560" spans="2:12" ht="18" customHeight="1">
      <c r="B560" s="5"/>
      <c r="D560" s="5"/>
      <c r="F560" s="5"/>
      <c r="H560" s="5"/>
      <c r="J560" s="5"/>
      <c r="L560" s="5"/>
    </row>
    <row r="561" spans="2:12" ht="18" customHeight="1">
      <c r="B561" s="5"/>
      <c r="D561" s="5"/>
      <c r="F561" s="5"/>
      <c r="H561" s="5"/>
      <c r="J561" s="5"/>
      <c r="L561" s="5"/>
    </row>
    <row r="562" spans="2:12" ht="18" customHeight="1">
      <c r="B562" s="5"/>
      <c r="D562" s="5"/>
      <c r="F562" s="5"/>
      <c r="H562" s="5"/>
      <c r="J562" s="5"/>
      <c r="L562" s="5"/>
    </row>
    <row r="563" spans="2:12" ht="18" customHeight="1">
      <c r="B563" s="5"/>
      <c r="D563" s="5"/>
      <c r="F563" s="5"/>
      <c r="H563" s="5"/>
      <c r="J563" s="5"/>
      <c r="L563" s="5"/>
    </row>
    <row r="564" spans="2:12" ht="18" customHeight="1">
      <c r="B564" s="5"/>
      <c r="D564" s="5"/>
      <c r="F564" s="5"/>
      <c r="H564" s="5"/>
      <c r="J564" s="5"/>
      <c r="L564" s="5"/>
    </row>
    <row r="565" spans="2:12" ht="18" customHeight="1">
      <c r="B565" s="5"/>
      <c r="D565" s="5"/>
      <c r="F565" s="5"/>
      <c r="H565" s="5"/>
      <c r="J565" s="5"/>
      <c r="L565" s="5"/>
    </row>
    <row r="566" spans="2:12" ht="18" customHeight="1">
      <c r="B566" s="5"/>
      <c r="D566" s="5"/>
      <c r="F566" s="5"/>
      <c r="H566" s="5"/>
      <c r="J566" s="5"/>
      <c r="L566" s="5"/>
    </row>
    <row r="567" spans="2:12" ht="18" customHeight="1">
      <c r="B567" s="5"/>
      <c r="D567" s="5"/>
      <c r="F567" s="5"/>
      <c r="H567" s="5"/>
      <c r="J567" s="5"/>
      <c r="L567" s="5"/>
    </row>
    <row r="568" spans="2:12" ht="18" customHeight="1">
      <c r="B568" s="5"/>
      <c r="D568" s="5"/>
      <c r="F568" s="5"/>
      <c r="H568" s="5"/>
      <c r="J568" s="5"/>
      <c r="L568" s="5"/>
    </row>
    <row r="569" spans="2:12" ht="18" customHeight="1">
      <c r="B569" s="5"/>
      <c r="D569" s="5"/>
      <c r="F569" s="5"/>
      <c r="H569" s="5"/>
      <c r="J569" s="5"/>
      <c r="L569" s="5"/>
    </row>
    <row r="570" spans="2:12" ht="18" customHeight="1">
      <c r="B570" s="5"/>
      <c r="D570" s="5"/>
      <c r="F570" s="5"/>
      <c r="H570" s="5"/>
      <c r="J570" s="5"/>
      <c r="L570" s="5"/>
    </row>
    <row r="571" spans="2:12" ht="18" customHeight="1">
      <c r="B571" s="5"/>
      <c r="D571" s="5"/>
      <c r="F571" s="5"/>
      <c r="H571" s="5"/>
      <c r="J571" s="5"/>
      <c r="L571" s="5"/>
    </row>
    <row r="572" spans="2:12" ht="18" customHeight="1">
      <c r="B572" s="5"/>
      <c r="D572" s="5"/>
      <c r="F572" s="5"/>
      <c r="H572" s="5"/>
      <c r="J572" s="5"/>
      <c r="L572" s="5"/>
    </row>
    <row r="573" spans="2:12" ht="18" customHeight="1">
      <c r="B573" s="5"/>
      <c r="D573" s="5"/>
      <c r="F573" s="5"/>
      <c r="H573" s="5"/>
      <c r="J573" s="5"/>
      <c r="L573" s="5"/>
    </row>
    <row r="574" spans="2:12" ht="18" customHeight="1">
      <c r="B574" s="5"/>
      <c r="D574" s="5"/>
      <c r="F574" s="5"/>
      <c r="H574" s="5"/>
      <c r="J574" s="5"/>
      <c r="L574" s="5"/>
    </row>
    <row r="575" spans="2:12" ht="18" customHeight="1">
      <c r="B575" s="5"/>
      <c r="D575" s="5"/>
      <c r="F575" s="5"/>
      <c r="H575" s="5"/>
      <c r="J575" s="5"/>
      <c r="L575" s="5"/>
    </row>
    <row r="576" spans="2:12" ht="18" customHeight="1">
      <c r="B576" s="5"/>
      <c r="D576" s="5"/>
      <c r="F576" s="5"/>
      <c r="H576" s="5"/>
      <c r="J576" s="5"/>
      <c r="L576" s="5"/>
    </row>
    <row r="577" spans="2:12" ht="18" customHeight="1">
      <c r="B577" s="5"/>
      <c r="D577" s="5"/>
      <c r="F577" s="5"/>
      <c r="H577" s="5"/>
      <c r="J577" s="5"/>
      <c r="L577" s="5"/>
    </row>
    <row r="578" spans="2:12" ht="18" customHeight="1">
      <c r="B578" s="5"/>
      <c r="D578" s="5"/>
      <c r="F578" s="5"/>
      <c r="H578" s="5"/>
      <c r="J578" s="5"/>
      <c r="L578" s="5"/>
    </row>
    <row r="579" spans="2:12" ht="18" customHeight="1">
      <c r="B579" s="5"/>
      <c r="D579" s="5"/>
      <c r="F579" s="5"/>
      <c r="H579" s="5"/>
      <c r="J579" s="5"/>
      <c r="L579" s="5"/>
    </row>
    <row r="580" spans="2:12" ht="18" customHeight="1">
      <c r="B580" s="5"/>
      <c r="D580" s="5"/>
      <c r="F580" s="5"/>
      <c r="H580" s="5"/>
      <c r="J580" s="5"/>
      <c r="L580" s="5"/>
    </row>
    <row r="581" spans="2:12" ht="18" customHeight="1">
      <c r="B581" s="5"/>
      <c r="D581" s="5"/>
      <c r="F581" s="5"/>
      <c r="H581" s="5"/>
      <c r="J581" s="5"/>
      <c r="L581" s="5"/>
    </row>
    <row r="582" spans="2:12" ht="18" customHeight="1">
      <c r="B582" s="5"/>
      <c r="D582" s="5"/>
      <c r="F582" s="5"/>
      <c r="H582" s="5"/>
      <c r="J582" s="5"/>
      <c r="L582" s="5"/>
    </row>
    <row r="583" spans="2:12" ht="18" customHeight="1">
      <c r="B583" s="5"/>
      <c r="D583" s="5"/>
      <c r="F583" s="5"/>
      <c r="H583" s="5"/>
      <c r="J583" s="5"/>
      <c r="L583" s="5"/>
    </row>
    <row r="584" spans="2:12" ht="18" customHeight="1">
      <c r="B584" s="5"/>
      <c r="D584" s="5"/>
      <c r="F584" s="5"/>
      <c r="H584" s="5"/>
      <c r="J584" s="5"/>
      <c r="L584" s="5"/>
    </row>
    <row r="585" spans="2:12" ht="18" customHeight="1">
      <c r="B585" s="5"/>
      <c r="D585" s="5"/>
      <c r="F585" s="5"/>
      <c r="H585" s="5"/>
      <c r="J585" s="5"/>
      <c r="L585" s="5"/>
    </row>
    <row r="586" spans="2:12" ht="18" customHeight="1">
      <c r="B586" s="5"/>
      <c r="D586" s="5"/>
      <c r="F586" s="5"/>
      <c r="H586" s="5"/>
      <c r="J586" s="5"/>
      <c r="L586" s="5"/>
    </row>
    <row r="587" spans="2:12" ht="18" customHeight="1">
      <c r="B587" s="5"/>
      <c r="D587" s="5"/>
      <c r="F587" s="5"/>
      <c r="H587" s="5"/>
      <c r="J587" s="5"/>
      <c r="L587" s="5"/>
    </row>
    <row r="588" spans="2:12" ht="18" customHeight="1">
      <c r="B588" s="5"/>
      <c r="D588" s="5"/>
      <c r="F588" s="5"/>
      <c r="H588" s="5"/>
      <c r="J588" s="5"/>
      <c r="L588" s="5"/>
    </row>
    <row r="589" spans="2:12" ht="18" customHeight="1">
      <c r="B589" s="5"/>
      <c r="D589" s="5"/>
      <c r="F589" s="5"/>
      <c r="H589" s="5"/>
      <c r="J589" s="5"/>
      <c r="L589" s="5"/>
    </row>
    <row r="590" spans="2:12" ht="18" customHeight="1">
      <c r="B590" s="5"/>
      <c r="D590" s="5"/>
      <c r="F590" s="5"/>
      <c r="H590" s="5"/>
      <c r="J590" s="5"/>
      <c r="L590" s="5"/>
    </row>
    <row r="591" spans="2:12" ht="18" customHeight="1">
      <c r="B591" s="5"/>
      <c r="D591" s="5"/>
      <c r="F591" s="5"/>
      <c r="H591" s="5"/>
      <c r="J591" s="5"/>
      <c r="L591" s="5"/>
    </row>
    <row r="592" spans="2:12" ht="18" customHeight="1">
      <c r="B592" s="5"/>
      <c r="D592" s="5"/>
      <c r="F592" s="5"/>
      <c r="H592" s="5"/>
      <c r="J592" s="5"/>
      <c r="L592" s="5"/>
    </row>
    <row r="593" spans="2:12" ht="18" customHeight="1">
      <c r="B593" s="5"/>
      <c r="D593" s="5"/>
      <c r="F593" s="5"/>
      <c r="H593" s="5"/>
      <c r="J593" s="5"/>
      <c r="L593" s="5"/>
    </row>
    <row r="594" spans="2:12" ht="18" customHeight="1">
      <c r="B594" s="5"/>
      <c r="D594" s="5"/>
      <c r="F594" s="5"/>
      <c r="H594" s="5"/>
      <c r="J594" s="5"/>
      <c r="L594" s="5"/>
    </row>
    <row r="595" spans="2:12" ht="18" customHeight="1">
      <c r="B595" s="5"/>
      <c r="D595" s="5"/>
      <c r="F595" s="5"/>
      <c r="H595" s="5"/>
      <c r="J595" s="5"/>
      <c r="L595" s="5"/>
    </row>
    <row r="596" spans="2:12" ht="18" customHeight="1">
      <c r="B596" s="5"/>
      <c r="D596" s="5"/>
      <c r="F596" s="5"/>
      <c r="H596" s="5"/>
      <c r="J596" s="5"/>
      <c r="L596" s="5"/>
    </row>
    <row r="597" spans="2:12" ht="18" customHeight="1">
      <c r="B597" s="5"/>
      <c r="D597" s="5"/>
      <c r="F597" s="5"/>
      <c r="H597" s="5"/>
      <c r="J597" s="5"/>
      <c r="L597" s="5"/>
    </row>
    <row r="598" spans="2:12" ht="18" customHeight="1">
      <c r="B598" s="5"/>
      <c r="D598" s="5"/>
      <c r="F598" s="5"/>
      <c r="H598" s="5"/>
      <c r="J598" s="5"/>
      <c r="L598" s="5"/>
    </row>
    <row r="599" spans="2:12" ht="18" customHeight="1">
      <c r="B599" s="5"/>
      <c r="D599" s="5"/>
      <c r="F599" s="5"/>
      <c r="H599" s="5"/>
      <c r="J599" s="5"/>
      <c r="L599" s="5"/>
    </row>
    <row r="600" spans="2:12" ht="18" customHeight="1">
      <c r="B600" s="5"/>
      <c r="D600" s="5"/>
      <c r="F600" s="5"/>
      <c r="H600" s="5"/>
      <c r="J600" s="5"/>
      <c r="L600" s="5"/>
    </row>
    <row r="601" spans="2:12" ht="18" customHeight="1">
      <c r="B601" s="5"/>
      <c r="D601" s="5"/>
      <c r="F601" s="5"/>
      <c r="H601" s="5"/>
      <c r="J601" s="5"/>
      <c r="L601" s="5"/>
    </row>
    <row r="602" spans="2:12" ht="18" customHeight="1">
      <c r="B602" s="5"/>
      <c r="D602" s="5"/>
      <c r="F602" s="5"/>
      <c r="H602" s="5"/>
      <c r="J602" s="5"/>
      <c r="L602" s="5"/>
    </row>
    <row r="603" spans="2:12" ht="18" customHeight="1">
      <c r="B603" s="5"/>
      <c r="D603" s="5"/>
      <c r="F603" s="5"/>
      <c r="H603" s="5"/>
      <c r="J603" s="5"/>
      <c r="L603" s="5"/>
    </row>
    <row r="604" spans="2:12" ht="18" customHeight="1">
      <c r="B604" s="5"/>
      <c r="D604" s="5"/>
      <c r="F604" s="5"/>
      <c r="H604" s="5"/>
      <c r="J604" s="5"/>
      <c r="L604" s="5"/>
    </row>
    <row r="605" spans="2:12" ht="18" customHeight="1">
      <c r="B605" s="5"/>
      <c r="D605" s="5"/>
      <c r="F605" s="5"/>
      <c r="H605" s="5"/>
      <c r="J605" s="5"/>
      <c r="L605" s="5"/>
    </row>
    <row r="606" spans="2:12" ht="18" customHeight="1">
      <c r="B606" s="5"/>
      <c r="D606" s="5"/>
      <c r="F606" s="5"/>
      <c r="H606" s="5"/>
      <c r="J606" s="5"/>
      <c r="L606" s="5"/>
    </row>
    <row r="607" spans="2:12" ht="18" customHeight="1">
      <c r="B607" s="5"/>
      <c r="D607" s="5"/>
      <c r="F607" s="5"/>
      <c r="H607" s="5"/>
      <c r="J607" s="5"/>
      <c r="L607" s="5"/>
    </row>
    <row r="608" spans="2:12" ht="18" customHeight="1">
      <c r="B608" s="5"/>
      <c r="D608" s="5"/>
      <c r="F608" s="5"/>
      <c r="H608" s="5"/>
      <c r="J608" s="5"/>
      <c r="L608" s="5"/>
    </row>
    <row r="609" spans="2:12" ht="18" customHeight="1">
      <c r="B609" s="5"/>
      <c r="D609" s="5"/>
      <c r="F609" s="5"/>
      <c r="H609" s="5"/>
      <c r="J609" s="5"/>
      <c r="L609" s="5"/>
    </row>
    <row r="610" spans="2:12" ht="18" customHeight="1">
      <c r="B610" s="5"/>
      <c r="D610" s="5"/>
      <c r="F610" s="5"/>
      <c r="H610" s="5"/>
      <c r="J610" s="5"/>
      <c r="L610" s="5"/>
    </row>
    <row r="611" spans="2:12" ht="18" customHeight="1">
      <c r="B611" s="5"/>
      <c r="D611" s="5"/>
      <c r="F611" s="5"/>
      <c r="H611" s="5"/>
      <c r="J611" s="5"/>
      <c r="L611" s="5"/>
    </row>
    <row r="612" spans="2:12" ht="18" customHeight="1">
      <c r="B612" s="5"/>
      <c r="D612" s="5"/>
      <c r="F612" s="5"/>
      <c r="H612" s="5"/>
      <c r="J612" s="5"/>
      <c r="L612" s="5"/>
    </row>
    <row r="613" spans="2:12" ht="18" customHeight="1">
      <c r="B613" s="5"/>
      <c r="D613" s="5"/>
      <c r="F613" s="5"/>
      <c r="H613" s="5"/>
      <c r="J613" s="5"/>
      <c r="L613" s="5"/>
    </row>
    <row r="614" spans="2:12" ht="18" customHeight="1">
      <c r="B614" s="5"/>
      <c r="D614" s="5"/>
      <c r="F614" s="5"/>
      <c r="H614" s="5"/>
      <c r="J614" s="5"/>
      <c r="L614" s="5"/>
    </row>
    <row r="615" spans="2:12" ht="18" customHeight="1">
      <c r="B615" s="5"/>
      <c r="D615" s="5"/>
      <c r="F615" s="5"/>
      <c r="H615" s="5"/>
      <c r="J615" s="5"/>
      <c r="L615" s="5"/>
    </row>
    <row r="616" spans="2:12" ht="18" customHeight="1">
      <c r="B616" s="5"/>
      <c r="D616" s="5"/>
      <c r="F616" s="5"/>
      <c r="H616" s="5"/>
      <c r="J616" s="5"/>
      <c r="L616" s="5"/>
    </row>
    <row r="617" spans="2:12" ht="18" customHeight="1">
      <c r="B617" s="5"/>
      <c r="D617" s="5"/>
      <c r="F617" s="5"/>
      <c r="H617" s="5"/>
      <c r="J617" s="5"/>
      <c r="L617" s="5"/>
    </row>
    <row r="618" spans="2:12" ht="18" customHeight="1">
      <c r="B618" s="5"/>
      <c r="D618" s="5"/>
      <c r="F618" s="5"/>
      <c r="H618" s="5"/>
      <c r="J618" s="5"/>
      <c r="L618" s="5"/>
    </row>
    <row r="619" spans="2:12" ht="18" customHeight="1">
      <c r="B619" s="5"/>
      <c r="D619" s="5"/>
      <c r="F619" s="5"/>
      <c r="H619" s="5"/>
      <c r="J619" s="5"/>
      <c r="L619" s="5"/>
    </row>
    <row r="620" spans="2:12" ht="18" customHeight="1">
      <c r="B620" s="5"/>
      <c r="D620" s="5"/>
      <c r="F620" s="5"/>
      <c r="H620" s="5"/>
      <c r="J620" s="5"/>
      <c r="L620" s="5"/>
    </row>
    <row r="621" spans="2:12" ht="18" customHeight="1">
      <c r="B621" s="5"/>
      <c r="D621" s="5"/>
      <c r="F621" s="5"/>
      <c r="H621" s="5"/>
      <c r="J621" s="5"/>
      <c r="L621" s="5"/>
    </row>
    <row r="622" spans="2:12" ht="18" customHeight="1">
      <c r="B622" s="5"/>
      <c r="D622" s="5"/>
      <c r="F622" s="5"/>
      <c r="H622" s="5"/>
      <c r="J622" s="5"/>
      <c r="L622" s="5"/>
    </row>
    <row r="623" spans="2:12" ht="18" customHeight="1">
      <c r="B623" s="5"/>
      <c r="D623" s="5"/>
      <c r="F623" s="5"/>
      <c r="H623" s="5"/>
      <c r="J623" s="5"/>
      <c r="L623" s="5"/>
    </row>
    <row r="624" spans="2:12" ht="18" customHeight="1">
      <c r="B624" s="5"/>
      <c r="D624" s="5"/>
      <c r="F624" s="5"/>
      <c r="H624" s="5"/>
      <c r="J624" s="5"/>
      <c r="L624" s="5"/>
    </row>
    <row r="625" spans="2:12" ht="18" customHeight="1">
      <c r="B625" s="5"/>
      <c r="D625" s="5"/>
      <c r="F625" s="5"/>
      <c r="H625" s="5"/>
      <c r="J625" s="5"/>
      <c r="L625" s="5"/>
    </row>
    <row r="626" spans="2:12" ht="18" customHeight="1">
      <c r="B626" s="5"/>
      <c r="D626" s="5"/>
      <c r="F626" s="5"/>
      <c r="H626" s="5"/>
      <c r="J626" s="5"/>
      <c r="L626" s="5"/>
    </row>
    <row r="627" spans="2:12" ht="18" customHeight="1">
      <c r="B627" s="5"/>
      <c r="D627" s="5"/>
      <c r="F627" s="5"/>
      <c r="H627" s="5"/>
      <c r="J627" s="5"/>
      <c r="L627" s="5"/>
    </row>
    <row r="628" spans="2:12" ht="18" customHeight="1">
      <c r="B628" s="5"/>
      <c r="D628" s="5"/>
      <c r="F628" s="5"/>
      <c r="H628" s="5"/>
      <c r="J628" s="5"/>
      <c r="L628" s="5"/>
    </row>
    <row r="629" spans="2:12" ht="18" customHeight="1">
      <c r="B629" s="5"/>
      <c r="D629" s="5"/>
      <c r="F629" s="5"/>
      <c r="H629" s="5"/>
      <c r="J629" s="5"/>
      <c r="L629" s="5"/>
    </row>
    <row r="630" spans="2:12" ht="18" customHeight="1">
      <c r="B630" s="5"/>
      <c r="D630" s="5"/>
      <c r="F630" s="5"/>
      <c r="H630" s="5"/>
      <c r="J630" s="5"/>
      <c r="L630" s="5"/>
    </row>
    <row r="631" spans="2:12" ht="18" customHeight="1">
      <c r="B631" s="5"/>
      <c r="D631" s="5"/>
      <c r="F631" s="5"/>
      <c r="H631" s="5"/>
      <c r="J631" s="5"/>
      <c r="L631" s="5"/>
    </row>
    <row r="632" spans="2:12" ht="18" customHeight="1">
      <c r="B632" s="5"/>
      <c r="D632" s="5"/>
      <c r="F632" s="5"/>
      <c r="H632" s="5"/>
      <c r="J632" s="5"/>
      <c r="L632" s="5"/>
    </row>
    <row r="633" spans="2:12" ht="18" customHeight="1">
      <c r="B633" s="5"/>
      <c r="D633" s="5"/>
      <c r="F633" s="5"/>
      <c r="H633" s="5"/>
      <c r="J633" s="5"/>
      <c r="L633" s="5"/>
    </row>
    <row r="634" spans="2:12" ht="18" customHeight="1">
      <c r="B634" s="5"/>
      <c r="D634" s="5"/>
      <c r="F634" s="5"/>
      <c r="H634" s="5"/>
      <c r="J634" s="5"/>
      <c r="L634" s="5"/>
    </row>
    <row r="635" spans="2:12" ht="18" customHeight="1">
      <c r="B635" s="5"/>
      <c r="D635" s="5"/>
      <c r="F635" s="5"/>
      <c r="H635" s="5"/>
      <c r="J635" s="5"/>
      <c r="L635" s="5"/>
    </row>
    <row r="636" spans="2:12" ht="18" customHeight="1">
      <c r="B636" s="5"/>
      <c r="D636" s="5"/>
      <c r="F636" s="5"/>
      <c r="H636" s="5"/>
      <c r="J636" s="5"/>
      <c r="L636" s="5"/>
    </row>
    <row r="637" spans="2:12" ht="18" customHeight="1">
      <c r="B637" s="5"/>
      <c r="D637" s="5"/>
      <c r="F637" s="5"/>
      <c r="H637" s="5"/>
      <c r="J637" s="5"/>
      <c r="L637" s="5"/>
    </row>
    <row r="638" spans="2:12" ht="18" customHeight="1">
      <c r="B638" s="5"/>
      <c r="D638" s="5"/>
      <c r="F638" s="5"/>
      <c r="H638" s="5"/>
      <c r="J638" s="5"/>
      <c r="L638" s="5"/>
    </row>
    <row r="639" spans="2:12" ht="18" customHeight="1">
      <c r="B639" s="5"/>
      <c r="D639" s="5"/>
      <c r="F639" s="5"/>
      <c r="H639" s="5"/>
      <c r="J639" s="5"/>
      <c r="L639" s="5"/>
    </row>
    <row r="640" spans="2:12" ht="18" customHeight="1">
      <c r="B640" s="5"/>
      <c r="D640" s="5"/>
      <c r="F640" s="5"/>
      <c r="H640" s="5"/>
      <c r="J640" s="5"/>
      <c r="L640" s="5"/>
    </row>
    <row r="641" spans="2:12" ht="18" customHeight="1">
      <c r="B641" s="5"/>
      <c r="D641" s="5"/>
      <c r="F641" s="5"/>
      <c r="H641" s="5"/>
      <c r="J641" s="5"/>
      <c r="L641" s="5"/>
    </row>
    <row r="642" spans="2:12" ht="18" customHeight="1">
      <c r="B642" s="5"/>
      <c r="D642" s="5"/>
      <c r="F642" s="5"/>
      <c r="H642" s="5"/>
      <c r="J642" s="5"/>
      <c r="L642" s="5"/>
    </row>
    <row r="643" spans="2:12" ht="18" customHeight="1">
      <c r="B643" s="5"/>
      <c r="D643" s="5"/>
      <c r="F643" s="5"/>
      <c r="H643" s="5"/>
      <c r="J643" s="5"/>
      <c r="L643" s="5"/>
    </row>
    <row r="644" spans="2:12" ht="18" customHeight="1">
      <c r="B644" s="5"/>
      <c r="D644" s="5"/>
      <c r="F644" s="5"/>
      <c r="H644" s="5"/>
      <c r="J644" s="5"/>
      <c r="L644" s="5"/>
    </row>
    <row r="645" spans="2:12" ht="18" customHeight="1">
      <c r="B645" s="5"/>
      <c r="D645" s="5"/>
      <c r="F645" s="5"/>
      <c r="H645" s="5"/>
      <c r="J645" s="5"/>
      <c r="L645" s="5"/>
    </row>
    <row r="646" spans="2:12" ht="18" customHeight="1">
      <c r="B646" s="5"/>
      <c r="D646" s="5"/>
      <c r="F646" s="5"/>
      <c r="H646" s="5"/>
      <c r="J646" s="5"/>
      <c r="L646" s="5"/>
    </row>
    <row r="647" spans="2:12" ht="18" customHeight="1">
      <c r="B647" s="5"/>
      <c r="D647" s="5"/>
      <c r="F647" s="5"/>
      <c r="H647" s="5"/>
      <c r="J647" s="5"/>
      <c r="L647" s="5"/>
    </row>
    <row r="648" spans="2:12" ht="18" customHeight="1">
      <c r="B648" s="5"/>
      <c r="D648" s="5"/>
      <c r="F648" s="5"/>
      <c r="H648" s="5"/>
      <c r="J648" s="5"/>
      <c r="L648" s="5"/>
    </row>
    <row r="649" spans="2:12" ht="18" customHeight="1">
      <c r="B649" s="5"/>
      <c r="D649" s="5"/>
      <c r="F649" s="5"/>
      <c r="H649" s="5"/>
      <c r="J649" s="5"/>
      <c r="L649" s="5"/>
    </row>
    <row r="650" spans="2:12" ht="18" customHeight="1">
      <c r="B650" s="5"/>
      <c r="D650" s="5"/>
      <c r="F650" s="5"/>
      <c r="H650" s="5"/>
      <c r="J650" s="5"/>
      <c r="L650" s="5"/>
    </row>
    <row r="651" spans="2:12" ht="18" customHeight="1">
      <c r="B651" s="5"/>
      <c r="D651" s="5"/>
      <c r="F651" s="5"/>
      <c r="H651" s="5"/>
      <c r="J651" s="5"/>
      <c r="L651" s="5"/>
    </row>
    <row r="652" spans="2:12" ht="18" customHeight="1">
      <c r="B652" s="5"/>
      <c r="D652" s="5"/>
      <c r="F652" s="5"/>
      <c r="H652" s="5"/>
      <c r="J652" s="5"/>
      <c r="L652" s="5"/>
    </row>
    <row r="653" spans="2:12" ht="18" customHeight="1">
      <c r="B653" s="5"/>
      <c r="D653" s="5"/>
      <c r="F653" s="5"/>
      <c r="H653" s="5"/>
      <c r="J653" s="5"/>
      <c r="L653" s="5"/>
    </row>
    <row r="654" spans="2:12" ht="18" customHeight="1">
      <c r="B654" s="5"/>
      <c r="D654" s="5"/>
      <c r="F654" s="5"/>
      <c r="H654" s="5"/>
      <c r="J654" s="5"/>
      <c r="L654" s="5"/>
    </row>
    <row r="655" spans="2:12" ht="18" customHeight="1">
      <c r="B655" s="5"/>
      <c r="D655" s="5"/>
      <c r="F655" s="5"/>
      <c r="H655" s="5"/>
      <c r="J655" s="5"/>
      <c r="L655" s="5"/>
    </row>
    <row r="656" spans="2:12" ht="18" customHeight="1">
      <c r="B656" s="5"/>
      <c r="D656" s="5"/>
      <c r="F656" s="5"/>
      <c r="H656" s="5"/>
      <c r="J656" s="5"/>
      <c r="L656" s="5"/>
    </row>
    <row r="657" spans="2:12" ht="18" customHeight="1">
      <c r="B657" s="5"/>
      <c r="D657" s="5"/>
      <c r="F657" s="5"/>
      <c r="H657" s="5"/>
      <c r="J657" s="5"/>
      <c r="L657" s="5"/>
    </row>
    <row r="658" spans="2:12" ht="18" customHeight="1">
      <c r="B658" s="5"/>
      <c r="D658" s="5"/>
      <c r="F658" s="5"/>
      <c r="H658" s="5"/>
      <c r="J658" s="5"/>
      <c r="L658" s="5"/>
    </row>
    <row r="659" spans="2:12" ht="18" customHeight="1">
      <c r="B659" s="5"/>
      <c r="D659" s="5"/>
      <c r="F659" s="5"/>
      <c r="H659" s="5"/>
      <c r="J659" s="5"/>
      <c r="L659" s="5"/>
    </row>
    <row r="660" spans="2:12" ht="18" customHeight="1">
      <c r="B660" s="5"/>
      <c r="D660" s="5"/>
      <c r="F660" s="5"/>
      <c r="H660" s="5"/>
      <c r="J660" s="5"/>
      <c r="L660" s="5"/>
    </row>
    <row r="661" spans="2:12" ht="18" customHeight="1">
      <c r="B661" s="5"/>
      <c r="D661" s="5"/>
      <c r="F661" s="5"/>
      <c r="H661" s="5"/>
      <c r="J661" s="5"/>
      <c r="L661" s="5"/>
    </row>
    <row r="662" spans="2:12" ht="18" customHeight="1">
      <c r="B662" s="5"/>
      <c r="D662" s="5"/>
      <c r="F662" s="5"/>
      <c r="H662" s="5"/>
      <c r="J662" s="5"/>
      <c r="L662" s="5"/>
    </row>
    <row r="663" spans="2:12" ht="18" customHeight="1">
      <c r="B663" s="5"/>
      <c r="D663" s="5"/>
      <c r="F663" s="5"/>
      <c r="H663" s="5"/>
      <c r="J663" s="5"/>
      <c r="L663" s="5"/>
    </row>
    <row r="664" spans="2:12" ht="18" customHeight="1">
      <c r="B664" s="5"/>
      <c r="D664" s="5"/>
      <c r="F664" s="5"/>
      <c r="H664" s="5"/>
      <c r="J664" s="5"/>
      <c r="L664" s="5"/>
    </row>
    <row r="665" spans="2:12" ht="18" customHeight="1">
      <c r="B665" s="5"/>
      <c r="D665" s="5"/>
      <c r="F665" s="5"/>
      <c r="H665" s="5"/>
      <c r="J665" s="5"/>
      <c r="L665" s="5"/>
    </row>
    <row r="666" spans="2:12" ht="18" customHeight="1">
      <c r="B666" s="5"/>
      <c r="D666" s="5"/>
      <c r="F666" s="5"/>
      <c r="H666" s="5"/>
      <c r="J666" s="5"/>
      <c r="L666" s="5"/>
    </row>
    <row r="667" spans="2:12" ht="18" customHeight="1">
      <c r="B667" s="5"/>
      <c r="D667" s="5"/>
      <c r="F667" s="5"/>
      <c r="H667" s="5"/>
      <c r="J667" s="5"/>
      <c r="L667" s="5"/>
    </row>
    <row r="668" spans="2:12" ht="18" customHeight="1">
      <c r="B668" s="5"/>
      <c r="D668" s="5"/>
      <c r="F668" s="5"/>
      <c r="H668" s="5"/>
      <c r="J668" s="5"/>
      <c r="L668" s="5"/>
    </row>
    <row r="669" spans="2:12" ht="18" customHeight="1">
      <c r="B669" s="5"/>
      <c r="D669" s="5"/>
      <c r="F669" s="5"/>
      <c r="H669" s="5"/>
      <c r="J669" s="5"/>
      <c r="L669" s="5"/>
    </row>
    <row r="670" spans="2:12" ht="18" customHeight="1">
      <c r="B670" s="5"/>
      <c r="D670" s="5"/>
      <c r="F670" s="5"/>
      <c r="H670" s="5"/>
      <c r="J670" s="5"/>
      <c r="L670" s="5"/>
    </row>
    <row r="671" spans="2:12" ht="18" customHeight="1">
      <c r="B671" s="5"/>
      <c r="D671" s="5"/>
      <c r="F671" s="5"/>
      <c r="H671" s="5"/>
      <c r="J671" s="5"/>
      <c r="L671" s="5"/>
    </row>
    <row r="672" spans="2:12" ht="18" customHeight="1">
      <c r="B672" s="5"/>
      <c r="D672" s="5"/>
      <c r="F672" s="5"/>
      <c r="H672" s="5"/>
      <c r="J672" s="5"/>
      <c r="L672" s="5"/>
    </row>
    <row r="673" spans="2:12" ht="18" customHeight="1">
      <c r="B673" s="5"/>
      <c r="D673" s="5"/>
      <c r="F673" s="5"/>
      <c r="H673" s="5"/>
      <c r="J673" s="5"/>
      <c r="L673" s="5"/>
    </row>
    <row r="674" spans="2:12" ht="18" customHeight="1">
      <c r="B674" s="5"/>
      <c r="D674" s="5"/>
      <c r="F674" s="5"/>
      <c r="H674" s="5"/>
      <c r="J674" s="5"/>
      <c r="L674" s="5"/>
    </row>
    <row r="675" spans="2:12" ht="18" customHeight="1">
      <c r="B675" s="5"/>
      <c r="D675" s="5"/>
      <c r="F675" s="5"/>
      <c r="H675" s="5"/>
      <c r="J675" s="5"/>
      <c r="L675" s="5"/>
    </row>
    <row r="676" spans="2:12" ht="18" customHeight="1">
      <c r="B676" s="5"/>
      <c r="D676" s="5"/>
      <c r="F676" s="5"/>
      <c r="H676" s="5"/>
      <c r="J676" s="5"/>
      <c r="L676" s="5"/>
    </row>
    <row r="677" spans="2:12" ht="18" customHeight="1">
      <c r="B677" s="5"/>
      <c r="D677" s="5"/>
      <c r="F677" s="5"/>
      <c r="H677" s="5"/>
      <c r="J677" s="5"/>
      <c r="L677" s="5"/>
    </row>
    <row r="678" spans="2:12" ht="18" customHeight="1">
      <c r="B678" s="5"/>
      <c r="D678" s="5"/>
      <c r="F678" s="5"/>
      <c r="H678" s="5"/>
      <c r="J678" s="5"/>
      <c r="L678" s="5"/>
    </row>
    <row r="679" spans="2:12" ht="18" customHeight="1">
      <c r="B679" s="5"/>
      <c r="D679" s="5"/>
      <c r="F679" s="5"/>
      <c r="H679" s="5"/>
      <c r="J679" s="5"/>
      <c r="L679" s="5"/>
    </row>
    <row r="680" spans="2:12" ht="18" customHeight="1">
      <c r="B680" s="5"/>
      <c r="D680" s="5"/>
      <c r="F680" s="5"/>
      <c r="H680" s="5"/>
      <c r="J680" s="5"/>
      <c r="L680" s="5"/>
    </row>
    <row r="681" spans="2:12" ht="18" customHeight="1">
      <c r="B681" s="5"/>
      <c r="D681" s="5"/>
      <c r="F681" s="5"/>
      <c r="H681" s="5"/>
      <c r="J681" s="5"/>
      <c r="L681" s="5"/>
    </row>
    <row r="682" spans="2:12" ht="18" customHeight="1">
      <c r="B682" s="5"/>
      <c r="D682" s="5"/>
      <c r="F682" s="5"/>
      <c r="H682" s="5"/>
      <c r="J682" s="5"/>
      <c r="L682" s="5"/>
    </row>
    <row r="683" spans="2:12" ht="18" customHeight="1">
      <c r="B683" s="5"/>
      <c r="D683" s="5"/>
      <c r="F683" s="5"/>
      <c r="H683" s="5"/>
      <c r="J683" s="5"/>
      <c r="L683" s="5"/>
    </row>
    <row r="684" spans="2:12" ht="18" customHeight="1">
      <c r="B684" s="5"/>
      <c r="D684" s="5"/>
      <c r="F684" s="5"/>
      <c r="H684" s="5"/>
      <c r="J684" s="5"/>
      <c r="L684" s="5"/>
    </row>
    <row r="685" spans="2:12" ht="18" customHeight="1">
      <c r="B685" s="5"/>
      <c r="D685" s="5"/>
      <c r="F685" s="5"/>
      <c r="H685" s="5"/>
      <c r="J685" s="5"/>
      <c r="L685" s="5"/>
    </row>
    <row r="686" spans="2:12" ht="18" customHeight="1">
      <c r="B686" s="5"/>
      <c r="D686" s="5"/>
      <c r="F686" s="5"/>
      <c r="H686" s="5"/>
      <c r="J686" s="5"/>
      <c r="L686" s="5"/>
    </row>
    <row r="687" spans="2:12" ht="18" customHeight="1">
      <c r="B687" s="5"/>
      <c r="D687" s="5"/>
      <c r="F687" s="5"/>
      <c r="H687" s="5"/>
      <c r="J687" s="5"/>
      <c r="L687" s="5"/>
    </row>
    <row r="688" spans="2:12" ht="18" customHeight="1">
      <c r="B688" s="5"/>
      <c r="D688" s="5"/>
      <c r="F688" s="5"/>
      <c r="H688" s="5"/>
      <c r="J688" s="5"/>
      <c r="L688" s="5"/>
    </row>
    <row r="689" spans="2:12" ht="18" customHeight="1">
      <c r="B689" s="5"/>
      <c r="D689" s="5"/>
      <c r="F689" s="5"/>
      <c r="H689" s="5"/>
      <c r="J689" s="5"/>
      <c r="L689" s="5"/>
    </row>
    <row r="690" spans="2:12" ht="18" customHeight="1">
      <c r="B690" s="5"/>
      <c r="D690" s="5"/>
      <c r="F690" s="5"/>
      <c r="H690" s="5"/>
      <c r="J690" s="5"/>
      <c r="L690" s="5"/>
    </row>
    <row r="691" spans="2:12" ht="18" customHeight="1">
      <c r="B691" s="5"/>
      <c r="D691" s="5"/>
      <c r="F691" s="5"/>
      <c r="H691" s="5"/>
      <c r="J691" s="5"/>
      <c r="L691" s="5"/>
    </row>
    <row r="692" spans="2:12" ht="18" customHeight="1">
      <c r="B692" s="5"/>
      <c r="D692" s="5"/>
      <c r="F692" s="5"/>
      <c r="H692" s="5"/>
      <c r="J692" s="5"/>
      <c r="L692" s="5"/>
    </row>
    <row r="693" spans="2:12" ht="18" customHeight="1">
      <c r="B693" s="5"/>
      <c r="D693" s="5"/>
      <c r="F693" s="5"/>
      <c r="H693" s="5"/>
      <c r="J693" s="5"/>
      <c r="L693" s="5"/>
    </row>
    <row r="694" spans="2:12" ht="18" customHeight="1">
      <c r="B694" s="5"/>
      <c r="D694" s="5"/>
      <c r="F694" s="5"/>
      <c r="H694" s="5"/>
      <c r="J694" s="5"/>
      <c r="L694" s="5"/>
    </row>
    <row r="695" spans="2:12" ht="18" customHeight="1">
      <c r="B695" s="5"/>
      <c r="D695" s="5"/>
      <c r="F695" s="5"/>
      <c r="H695" s="5"/>
      <c r="J695" s="5"/>
      <c r="L695" s="5"/>
    </row>
    <row r="696" spans="2:12" ht="18" customHeight="1">
      <c r="B696" s="5"/>
      <c r="D696" s="5"/>
      <c r="F696" s="5"/>
      <c r="H696" s="5"/>
      <c r="J696" s="5"/>
      <c r="L696" s="5"/>
    </row>
    <row r="697" spans="2:12" ht="18" customHeight="1">
      <c r="B697" s="5"/>
      <c r="D697" s="5"/>
      <c r="F697" s="5"/>
      <c r="H697" s="5"/>
      <c r="J697" s="5"/>
      <c r="L697" s="5"/>
    </row>
    <row r="698" spans="2:12" ht="18" customHeight="1">
      <c r="B698" s="5"/>
      <c r="D698" s="5"/>
      <c r="F698" s="5"/>
      <c r="H698" s="5"/>
      <c r="J698" s="5"/>
      <c r="L698" s="5"/>
    </row>
    <row r="699" spans="2:12" ht="18" customHeight="1">
      <c r="B699" s="5"/>
      <c r="D699" s="5"/>
      <c r="F699" s="5"/>
      <c r="H699" s="5"/>
      <c r="J699" s="5"/>
      <c r="L699" s="5"/>
    </row>
    <row r="700" spans="2:12" ht="18" customHeight="1">
      <c r="B700" s="5"/>
      <c r="D700" s="5"/>
      <c r="F700" s="5"/>
      <c r="H700" s="5"/>
      <c r="J700" s="5"/>
      <c r="L700" s="5"/>
    </row>
    <row r="701" spans="2:12" ht="18" customHeight="1">
      <c r="B701" s="5"/>
      <c r="D701" s="5"/>
      <c r="F701" s="5"/>
      <c r="H701" s="5"/>
      <c r="J701" s="5"/>
      <c r="L701" s="5"/>
    </row>
    <row r="702" spans="2:12" ht="18" customHeight="1">
      <c r="B702" s="5"/>
      <c r="D702" s="5"/>
      <c r="F702" s="5"/>
      <c r="H702" s="5"/>
      <c r="J702" s="5"/>
      <c r="L702" s="5"/>
    </row>
    <row r="703" spans="2:12" ht="18" customHeight="1">
      <c r="B703" s="5"/>
      <c r="D703" s="5"/>
      <c r="F703" s="5"/>
      <c r="H703" s="5"/>
      <c r="J703" s="5"/>
      <c r="L703" s="5"/>
    </row>
    <row r="704" spans="2:12" ht="18" customHeight="1">
      <c r="B704" s="5"/>
      <c r="D704" s="5"/>
      <c r="F704" s="5"/>
      <c r="H704" s="5"/>
      <c r="J704" s="5"/>
      <c r="L704" s="5"/>
    </row>
    <row r="705" spans="2:12" ht="18" customHeight="1">
      <c r="B705" s="5"/>
      <c r="D705" s="5"/>
      <c r="F705" s="5"/>
      <c r="H705" s="5"/>
      <c r="J705" s="5"/>
      <c r="L705" s="5"/>
    </row>
    <row r="706" spans="2:12" ht="18" customHeight="1">
      <c r="B706" s="5"/>
      <c r="D706" s="5"/>
      <c r="F706" s="5"/>
      <c r="H706" s="5"/>
      <c r="J706" s="5"/>
      <c r="L706" s="5"/>
    </row>
    <row r="707" spans="2:12" ht="18" customHeight="1">
      <c r="B707" s="5"/>
      <c r="D707" s="5"/>
      <c r="F707" s="5"/>
      <c r="H707" s="5"/>
      <c r="J707" s="5"/>
      <c r="L707" s="5"/>
    </row>
    <row r="708" spans="2:12" ht="18" customHeight="1">
      <c r="B708" s="5"/>
      <c r="D708" s="5"/>
      <c r="F708" s="5"/>
      <c r="H708" s="5"/>
      <c r="J708" s="5"/>
      <c r="L708" s="5"/>
    </row>
    <row r="709" spans="2:12" ht="18" customHeight="1">
      <c r="B709" s="5"/>
      <c r="D709" s="5"/>
      <c r="F709" s="5"/>
      <c r="H709" s="5"/>
      <c r="J709" s="5"/>
      <c r="L709" s="5"/>
    </row>
    <row r="710" spans="2:12" ht="18" customHeight="1">
      <c r="B710" s="5"/>
      <c r="D710" s="5"/>
      <c r="F710" s="5"/>
      <c r="H710" s="5"/>
      <c r="J710" s="5"/>
      <c r="L710" s="5"/>
    </row>
    <row r="711" spans="2:12" ht="18" customHeight="1">
      <c r="B711" s="5"/>
      <c r="D711" s="5"/>
      <c r="F711" s="5"/>
      <c r="H711" s="5"/>
      <c r="J711" s="5"/>
      <c r="L711" s="5"/>
    </row>
    <row r="712" spans="2:12" ht="18" customHeight="1">
      <c r="B712" s="5"/>
      <c r="D712" s="5"/>
      <c r="F712" s="5"/>
      <c r="H712" s="5"/>
      <c r="J712" s="5"/>
      <c r="L712" s="5"/>
    </row>
    <row r="713" spans="2:12" ht="18" customHeight="1">
      <c r="B713" s="5"/>
      <c r="D713" s="5"/>
      <c r="F713" s="5"/>
      <c r="H713" s="5"/>
      <c r="J713" s="5"/>
      <c r="L713" s="5"/>
    </row>
    <row r="714" spans="2:12" ht="18" customHeight="1">
      <c r="B714" s="5"/>
      <c r="D714" s="5"/>
      <c r="F714" s="5"/>
      <c r="H714" s="5"/>
      <c r="J714" s="5"/>
      <c r="L714" s="5"/>
    </row>
    <row r="715" spans="2:12" ht="18" customHeight="1">
      <c r="B715" s="5"/>
      <c r="D715" s="5"/>
      <c r="F715" s="5"/>
      <c r="H715" s="5"/>
      <c r="J715" s="5"/>
      <c r="L715" s="5"/>
    </row>
    <row r="716" spans="2:12" ht="18" customHeight="1">
      <c r="B716" s="5"/>
      <c r="D716" s="5"/>
      <c r="F716" s="5"/>
      <c r="H716" s="5"/>
      <c r="J716" s="5"/>
      <c r="L716" s="5"/>
    </row>
    <row r="717" spans="2:12" ht="18" customHeight="1">
      <c r="B717" s="5"/>
      <c r="D717" s="5"/>
      <c r="F717" s="5"/>
      <c r="H717" s="5"/>
      <c r="J717" s="5"/>
      <c r="L717" s="5"/>
    </row>
    <row r="718" spans="2:12" ht="18" customHeight="1">
      <c r="B718" s="5"/>
      <c r="D718" s="5"/>
      <c r="F718" s="5"/>
      <c r="H718" s="5"/>
      <c r="J718" s="5"/>
      <c r="L718" s="5"/>
    </row>
    <row r="719" spans="2:12" ht="18" customHeight="1">
      <c r="B719" s="5"/>
      <c r="D719" s="5"/>
      <c r="F719" s="5"/>
      <c r="H719" s="5"/>
      <c r="J719" s="5"/>
      <c r="L719" s="5"/>
    </row>
    <row r="720" spans="2:12" ht="18" customHeight="1">
      <c r="B720" s="5"/>
      <c r="D720" s="5"/>
      <c r="F720" s="5"/>
      <c r="H720" s="5"/>
      <c r="J720" s="5"/>
      <c r="L720" s="5"/>
    </row>
    <row r="721" spans="2:12" ht="18" customHeight="1">
      <c r="B721" s="5"/>
      <c r="D721" s="5"/>
      <c r="F721" s="5"/>
      <c r="H721" s="5"/>
      <c r="J721" s="5"/>
      <c r="L721" s="5"/>
    </row>
    <row r="722" spans="2:12" ht="18" customHeight="1">
      <c r="B722" s="5"/>
      <c r="D722" s="5"/>
      <c r="F722" s="5"/>
      <c r="H722" s="5"/>
      <c r="J722" s="5"/>
      <c r="L722" s="5"/>
    </row>
    <row r="723" spans="2:12" ht="18" customHeight="1">
      <c r="B723" s="5"/>
      <c r="D723" s="5"/>
      <c r="F723" s="5"/>
      <c r="H723" s="5"/>
      <c r="J723" s="5"/>
      <c r="L723" s="5"/>
    </row>
    <row r="724" spans="2:12" ht="18" customHeight="1">
      <c r="B724" s="5"/>
      <c r="D724" s="5"/>
      <c r="F724" s="5"/>
      <c r="H724" s="5"/>
      <c r="J724" s="5"/>
      <c r="L724" s="5"/>
    </row>
    <row r="725" spans="2:12" ht="18" customHeight="1">
      <c r="B725" s="5"/>
      <c r="D725" s="5"/>
      <c r="F725" s="5"/>
      <c r="H725" s="5"/>
      <c r="J725" s="5"/>
      <c r="L725" s="5"/>
    </row>
    <row r="726" spans="2:12" ht="18" customHeight="1">
      <c r="B726" s="5"/>
      <c r="D726" s="5"/>
      <c r="F726" s="5"/>
      <c r="H726" s="5"/>
      <c r="J726" s="5"/>
      <c r="L726" s="5"/>
    </row>
    <row r="727" spans="2:12" ht="18" customHeight="1">
      <c r="B727" s="5"/>
      <c r="D727" s="5"/>
      <c r="F727" s="5"/>
      <c r="H727" s="5"/>
      <c r="J727" s="5"/>
      <c r="L727" s="5"/>
    </row>
    <row r="728" spans="2:12" ht="18" customHeight="1">
      <c r="B728" s="5"/>
      <c r="D728" s="5"/>
      <c r="F728" s="5"/>
      <c r="H728" s="5"/>
      <c r="J728" s="5"/>
      <c r="L728" s="5"/>
    </row>
    <row r="729" spans="2:12" ht="18" customHeight="1">
      <c r="B729" s="5"/>
      <c r="D729" s="5"/>
      <c r="F729" s="5"/>
      <c r="H729" s="5"/>
      <c r="J729" s="5"/>
      <c r="L729" s="5"/>
    </row>
    <row r="730" spans="2:12" ht="18" customHeight="1">
      <c r="B730" s="5"/>
      <c r="D730" s="5"/>
      <c r="F730" s="5"/>
      <c r="H730" s="5"/>
      <c r="J730" s="5"/>
      <c r="L730" s="5"/>
    </row>
    <row r="731" spans="2:12" ht="18" customHeight="1">
      <c r="B731" s="5"/>
      <c r="D731" s="5"/>
      <c r="F731" s="5"/>
      <c r="H731" s="5"/>
      <c r="J731" s="5"/>
      <c r="L731" s="5"/>
    </row>
    <row r="732" spans="2:12" ht="18" customHeight="1">
      <c r="B732" s="5"/>
      <c r="D732" s="5"/>
      <c r="F732" s="5"/>
      <c r="H732" s="5"/>
      <c r="J732" s="5"/>
      <c r="L732" s="5"/>
    </row>
    <row r="733" spans="2:12" ht="18" customHeight="1">
      <c r="B733" s="5"/>
      <c r="D733" s="5"/>
      <c r="F733" s="5"/>
      <c r="H733" s="5"/>
      <c r="J733" s="5"/>
      <c r="L733" s="5"/>
    </row>
    <row r="734" spans="2:12" ht="18" customHeight="1">
      <c r="B734" s="5"/>
      <c r="D734" s="5"/>
      <c r="F734" s="5"/>
      <c r="H734" s="5"/>
      <c r="J734" s="5"/>
      <c r="L734" s="5"/>
    </row>
    <row r="735" spans="2:12" ht="18" customHeight="1">
      <c r="B735" s="5"/>
      <c r="D735" s="5"/>
      <c r="F735" s="5"/>
      <c r="H735" s="5"/>
      <c r="J735" s="5"/>
      <c r="L735" s="5"/>
    </row>
    <row r="736" spans="2:12" ht="18" customHeight="1">
      <c r="B736" s="5"/>
      <c r="D736" s="5"/>
      <c r="F736" s="5"/>
      <c r="H736" s="5"/>
      <c r="J736" s="5"/>
      <c r="L736" s="5"/>
    </row>
    <row r="737" spans="2:12" ht="18" customHeight="1">
      <c r="B737" s="5"/>
      <c r="D737" s="5"/>
      <c r="F737" s="5"/>
      <c r="H737" s="5"/>
      <c r="J737" s="5"/>
      <c r="L737" s="5"/>
    </row>
    <row r="738" spans="2:12" ht="18" customHeight="1">
      <c r="B738" s="5"/>
      <c r="D738" s="5"/>
      <c r="F738" s="5"/>
      <c r="H738" s="5"/>
      <c r="J738" s="5"/>
      <c r="L738" s="5"/>
    </row>
    <row r="739" spans="2:12" ht="18" customHeight="1">
      <c r="B739" s="5"/>
      <c r="D739" s="5"/>
      <c r="F739" s="5"/>
      <c r="H739" s="5"/>
      <c r="J739" s="5"/>
      <c r="L739" s="5"/>
    </row>
    <row r="740" spans="2:12" ht="18" customHeight="1">
      <c r="B740" s="5"/>
      <c r="D740" s="5"/>
      <c r="F740" s="5"/>
      <c r="H740" s="5"/>
      <c r="J740" s="5"/>
      <c r="L740" s="5"/>
    </row>
    <row r="741" spans="2:12" ht="18" customHeight="1">
      <c r="B741" s="5"/>
      <c r="D741" s="5"/>
      <c r="F741" s="5"/>
      <c r="H741" s="5"/>
      <c r="J741" s="5"/>
      <c r="L741" s="5"/>
    </row>
    <row r="742" spans="2:12" ht="18" customHeight="1">
      <c r="B742" s="5"/>
      <c r="D742" s="5"/>
      <c r="F742" s="5"/>
      <c r="H742" s="5"/>
      <c r="J742" s="5"/>
      <c r="L742" s="5"/>
    </row>
    <row r="743" spans="2:12" ht="18" customHeight="1">
      <c r="B743" s="5"/>
      <c r="D743" s="5"/>
      <c r="F743" s="5"/>
      <c r="H743" s="5"/>
      <c r="J743" s="5"/>
      <c r="L743" s="5"/>
    </row>
    <row r="744" spans="2:12" ht="18" customHeight="1">
      <c r="B744" s="5"/>
      <c r="D744" s="5"/>
      <c r="F744" s="5"/>
      <c r="H744" s="5"/>
      <c r="J744" s="5"/>
      <c r="L744" s="5"/>
    </row>
    <row r="745" spans="2:12" ht="18" customHeight="1">
      <c r="B745" s="5"/>
      <c r="D745" s="5"/>
      <c r="F745" s="5"/>
      <c r="H745" s="5"/>
      <c r="J745" s="5"/>
      <c r="L745" s="5"/>
    </row>
    <row r="746" spans="2:12" ht="18" customHeight="1">
      <c r="B746" s="5"/>
      <c r="D746" s="5"/>
      <c r="F746" s="5"/>
      <c r="H746" s="5"/>
      <c r="J746" s="5"/>
      <c r="L746" s="5"/>
    </row>
    <row r="747" spans="2:12" ht="18" customHeight="1">
      <c r="B747" s="5"/>
      <c r="D747" s="5"/>
      <c r="F747" s="5"/>
      <c r="H747" s="5"/>
      <c r="J747" s="5"/>
      <c r="L747" s="5"/>
    </row>
    <row r="748" spans="2:12" ht="18" customHeight="1">
      <c r="B748" s="5"/>
      <c r="D748" s="5"/>
      <c r="F748" s="5"/>
      <c r="H748" s="5"/>
      <c r="J748" s="5"/>
      <c r="L748" s="5"/>
    </row>
    <row r="749" spans="2:12" ht="18" customHeight="1">
      <c r="B749" s="5"/>
      <c r="D749" s="5"/>
      <c r="F749" s="5"/>
      <c r="H749" s="5"/>
      <c r="J749" s="5"/>
      <c r="L749" s="5"/>
    </row>
    <row r="750" spans="2:12" ht="18" customHeight="1">
      <c r="B750" s="5"/>
      <c r="D750" s="5"/>
      <c r="F750" s="5"/>
      <c r="H750" s="5"/>
      <c r="J750" s="5"/>
      <c r="L750" s="5"/>
    </row>
    <row r="751" spans="2:12" ht="18" customHeight="1">
      <c r="B751" s="5"/>
      <c r="D751" s="5"/>
      <c r="F751" s="5"/>
      <c r="H751" s="5"/>
      <c r="J751" s="5"/>
      <c r="L751" s="5"/>
    </row>
    <row r="752" spans="2:12" ht="18" customHeight="1">
      <c r="B752" s="5"/>
      <c r="D752" s="5"/>
      <c r="F752" s="5"/>
      <c r="H752" s="5"/>
      <c r="J752" s="5"/>
      <c r="L752" s="5"/>
    </row>
    <row r="753" spans="2:12" ht="18" customHeight="1">
      <c r="B753" s="5"/>
      <c r="D753" s="5"/>
      <c r="F753" s="5"/>
      <c r="H753" s="5"/>
      <c r="J753" s="5"/>
      <c r="L753" s="5"/>
    </row>
    <row r="754" spans="2:12" ht="18" customHeight="1">
      <c r="B754" s="5"/>
      <c r="D754" s="5"/>
      <c r="F754" s="5"/>
      <c r="H754" s="5"/>
      <c r="J754" s="5"/>
      <c r="L754" s="5"/>
    </row>
    <row r="755" spans="2:12" ht="18" customHeight="1">
      <c r="B755" s="5"/>
      <c r="D755" s="5"/>
      <c r="F755" s="5"/>
      <c r="H755" s="5"/>
      <c r="J755" s="5"/>
      <c r="L755" s="5"/>
    </row>
    <row r="756" spans="2:12" ht="18" customHeight="1">
      <c r="B756" s="5"/>
      <c r="D756" s="5"/>
      <c r="F756" s="5"/>
      <c r="H756" s="5"/>
      <c r="J756" s="5"/>
      <c r="L756" s="5"/>
    </row>
    <row r="757" spans="2:12" ht="18" customHeight="1">
      <c r="B757" s="5"/>
      <c r="D757" s="5"/>
      <c r="F757" s="5"/>
      <c r="H757" s="5"/>
      <c r="J757" s="5"/>
      <c r="L757" s="5"/>
    </row>
    <row r="758" spans="2:12" ht="18" customHeight="1">
      <c r="B758" s="5"/>
      <c r="D758" s="5"/>
      <c r="F758" s="5"/>
      <c r="H758" s="5"/>
      <c r="J758" s="5"/>
      <c r="L758" s="5"/>
    </row>
    <row r="759" spans="2:12" ht="18" customHeight="1">
      <c r="B759" s="5"/>
      <c r="D759" s="5"/>
      <c r="F759" s="5"/>
      <c r="H759" s="5"/>
      <c r="J759" s="5"/>
      <c r="L759" s="5"/>
    </row>
    <row r="760" spans="2:12" ht="18" customHeight="1">
      <c r="B760" s="5"/>
      <c r="D760" s="5"/>
      <c r="F760" s="5"/>
      <c r="H760" s="5"/>
      <c r="J760" s="5"/>
      <c r="L760" s="5"/>
    </row>
    <row r="761" spans="2:12" ht="18" customHeight="1">
      <c r="B761" s="5"/>
      <c r="D761" s="5"/>
      <c r="F761" s="5"/>
      <c r="H761" s="5"/>
      <c r="J761" s="5"/>
      <c r="L761" s="5"/>
    </row>
    <row r="762" spans="2:12" ht="18" customHeight="1">
      <c r="B762" s="5"/>
      <c r="D762" s="5"/>
      <c r="F762" s="5"/>
      <c r="H762" s="5"/>
      <c r="J762" s="5"/>
      <c r="L762" s="5"/>
    </row>
    <row r="763" spans="2:12" ht="18" customHeight="1">
      <c r="B763" s="5"/>
      <c r="D763" s="5"/>
      <c r="F763" s="5"/>
      <c r="H763" s="5"/>
      <c r="J763" s="5"/>
      <c r="L763" s="5"/>
    </row>
    <row r="764" spans="2:12" ht="18" customHeight="1">
      <c r="B764" s="5"/>
      <c r="D764" s="5"/>
      <c r="F764" s="5"/>
      <c r="H764" s="5"/>
      <c r="J764" s="5"/>
      <c r="L764" s="5"/>
    </row>
    <row r="765" spans="2:12" ht="18" customHeight="1">
      <c r="B765" s="5"/>
      <c r="D765" s="5"/>
      <c r="F765" s="5"/>
      <c r="H765" s="5"/>
      <c r="J765" s="5"/>
      <c r="L765" s="5"/>
    </row>
    <row r="766" spans="2:12" ht="18" customHeight="1">
      <c r="B766" s="5"/>
      <c r="D766" s="5"/>
      <c r="F766" s="5"/>
      <c r="H766" s="5"/>
      <c r="J766" s="5"/>
      <c r="L766" s="5"/>
    </row>
    <row r="767" spans="2:12" ht="18" customHeight="1">
      <c r="B767" s="5"/>
      <c r="D767" s="5"/>
      <c r="F767" s="5"/>
      <c r="H767" s="5"/>
      <c r="J767" s="5"/>
      <c r="L767" s="5"/>
    </row>
    <row r="768" spans="2:12" ht="18" customHeight="1">
      <c r="B768" s="5"/>
      <c r="D768" s="5"/>
      <c r="F768" s="5"/>
      <c r="H768" s="5"/>
      <c r="J768" s="5"/>
      <c r="L768" s="5"/>
    </row>
    <row r="769" spans="2:12" ht="18" customHeight="1">
      <c r="B769" s="5"/>
      <c r="D769" s="5"/>
      <c r="F769" s="5"/>
      <c r="H769" s="5"/>
      <c r="J769" s="5"/>
      <c r="L769" s="5"/>
    </row>
    <row r="770" spans="2:12" ht="18" customHeight="1">
      <c r="B770" s="5"/>
      <c r="D770" s="5"/>
      <c r="F770" s="5"/>
      <c r="H770" s="5"/>
      <c r="J770" s="5"/>
      <c r="L770" s="5"/>
    </row>
    <row r="771" spans="2:12" ht="18" customHeight="1">
      <c r="B771" s="5"/>
      <c r="D771" s="5"/>
      <c r="F771" s="5"/>
      <c r="H771" s="5"/>
      <c r="J771" s="5"/>
      <c r="L771" s="5"/>
    </row>
    <row r="772" spans="2:12" ht="18" customHeight="1">
      <c r="B772" s="5"/>
      <c r="D772" s="5"/>
      <c r="F772" s="5"/>
      <c r="H772" s="5"/>
      <c r="J772" s="5"/>
      <c r="L772" s="5"/>
    </row>
    <row r="773" spans="2:12" ht="18" customHeight="1">
      <c r="B773" s="5"/>
      <c r="D773" s="5"/>
      <c r="F773" s="5"/>
      <c r="H773" s="5"/>
      <c r="J773" s="5"/>
      <c r="L773" s="5"/>
    </row>
    <row r="774" spans="2:12" ht="18" customHeight="1">
      <c r="B774" s="5"/>
      <c r="D774" s="5"/>
      <c r="F774" s="5"/>
      <c r="H774" s="5"/>
      <c r="J774" s="5"/>
      <c r="L774" s="5"/>
    </row>
    <row r="775" spans="2:12" ht="18" customHeight="1">
      <c r="B775" s="5"/>
      <c r="D775" s="5"/>
      <c r="F775" s="5"/>
      <c r="H775" s="5"/>
      <c r="J775" s="5"/>
      <c r="L775" s="5"/>
    </row>
    <row r="776" spans="2:12" ht="18" customHeight="1">
      <c r="B776" s="5"/>
      <c r="D776" s="5"/>
      <c r="F776" s="5"/>
      <c r="H776" s="5"/>
      <c r="J776" s="5"/>
      <c r="L776" s="5"/>
    </row>
    <row r="777" spans="2:12" ht="18" customHeight="1">
      <c r="B777" s="5"/>
      <c r="D777" s="5"/>
      <c r="F777" s="5"/>
      <c r="H777" s="5"/>
      <c r="J777" s="5"/>
      <c r="L777" s="5"/>
    </row>
    <row r="778" spans="2:12" ht="18" customHeight="1">
      <c r="B778" s="5"/>
      <c r="D778" s="5"/>
      <c r="F778" s="5"/>
      <c r="H778" s="5"/>
      <c r="J778" s="5"/>
      <c r="L778" s="5"/>
    </row>
    <row r="779" spans="2:12" ht="18" customHeight="1">
      <c r="B779" s="5"/>
      <c r="D779" s="5"/>
      <c r="F779" s="5"/>
      <c r="H779" s="5"/>
      <c r="J779" s="5"/>
      <c r="L779" s="5"/>
    </row>
    <row r="780" spans="2:12" ht="18" customHeight="1">
      <c r="B780" s="5"/>
      <c r="D780" s="5"/>
      <c r="F780" s="5"/>
      <c r="H780" s="5"/>
      <c r="J780" s="5"/>
      <c r="L780" s="5"/>
    </row>
    <row r="781" spans="2:12" ht="18" customHeight="1">
      <c r="B781" s="5"/>
      <c r="D781" s="5"/>
      <c r="F781" s="5"/>
      <c r="H781" s="5"/>
      <c r="J781" s="5"/>
      <c r="L781" s="5"/>
    </row>
    <row r="782" spans="2:12" ht="18" customHeight="1">
      <c r="B782" s="5"/>
      <c r="D782" s="5"/>
      <c r="F782" s="5"/>
      <c r="H782" s="5"/>
      <c r="J782" s="5"/>
      <c r="L782" s="5"/>
    </row>
    <row r="783" spans="2:12" ht="18" customHeight="1">
      <c r="B783" s="5"/>
      <c r="D783" s="5"/>
      <c r="F783" s="5"/>
      <c r="H783" s="5"/>
      <c r="J783" s="5"/>
      <c r="L783" s="5"/>
    </row>
    <row r="784" spans="2:12" ht="18" customHeight="1">
      <c r="B784" s="5"/>
      <c r="D784" s="5"/>
      <c r="F784" s="5"/>
      <c r="H784" s="5"/>
      <c r="J784" s="5"/>
      <c r="L784" s="5"/>
    </row>
    <row r="785" spans="2:12" ht="18" customHeight="1">
      <c r="B785" s="5"/>
      <c r="D785" s="5"/>
      <c r="F785" s="5"/>
      <c r="H785" s="5"/>
      <c r="J785" s="5"/>
      <c r="L785" s="5"/>
    </row>
    <row r="786" spans="2:12" ht="18" customHeight="1">
      <c r="B786" s="5"/>
      <c r="D786" s="5"/>
      <c r="F786" s="5"/>
      <c r="H786" s="5"/>
      <c r="J786" s="5"/>
      <c r="L786" s="5"/>
    </row>
    <row r="787" spans="2:12" ht="18" customHeight="1">
      <c r="B787" s="5"/>
      <c r="D787" s="5"/>
      <c r="F787" s="5"/>
      <c r="H787" s="5"/>
      <c r="J787" s="5"/>
      <c r="L787" s="5"/>
    </row>
    <row r="788" spans="2:12" ht="18" customHeight="1">
      <c r="B788" s="5"/>
      <c r="D788" s="5"/>
      <c r="F788" s="5"/>
      <c r="H788" s="5"/>
      <c r="J788" s="5"/>
      <c r="L788" s="5"/>
    </row>
    <row r="789" spans="2:12" ht="18" customHeight="1">
      <c r="B789" s="5"/>
      <c r="D789" s="5"/>
      <c r="F789" s="5"/>
      <c r="H789" s="5"/>
      <c r="J789" s="5"/>
      <c r="L789" s="5"/>
    </row>
    <row r="790" spans="2:12" ht="18" customHeight="1">
      <c r="B790" s="5"/>
      <c r="D790" s="5"/>
      <c r="F790" s="5"/>
      <c r="H790" s="5"/>
      <c r="J790" s="5"/>
      <c r="L790" s="5"/>
    </row>
    <row r="791" spans="2:12" ht="18" customHeight="1">
      <c r="B791" s="5"/>
      <c r="D791" s="5"/>
      <c r="F791" s="5"/>
      <c r="H791" s="5"/>
      <c r="J791" s="5"/>
      <c r="L791" s="5"/>
    </row>
    <row r="792" spans="2:12" ht="18" customHeight="1">
      <c r="B792" s="5"/>
      <c r="D792" s="5"/>
      <c r="F792" s="5"/>
      <c r="H792" s="5"/>
      <c r="J792" s="5"/>
      <c r="L792" s="5"/>
    </row>
    <row r="793" spans="2:12" ht="18" customHeight="1">
      <c r="B793" s="5"/>
      <c r="D793" s="5"/>
      <c r="F793" s="5"/>
      <c r="H793" s="5"/>
      <c r="J793" s="5"/>
      <c r="L793" s="5"/>
    </row>
    <row r="794" spans="2:12" ht="18" customHeight="1">
      <c r="B794" s="5"/>
      <c r="D794" s="5"/>
      <c r="F794" s="5"/>
      <c r="H794" s="5"/>
      <c r="J794" s="5"/>
      <c r="L794" s="5"/>
    </row>
    <row r="795" spans="2:12" ht="18" customHeight="1">
      <c r="B795" s="5"/>
      <c r="D795" s="5"/>
      <c r="F795" s="5"/>
      <c r="H795" s="5"/>
      <c r="J795" s="5"/>
      <c r="L795" s="5"/>
    </row>
    <row r="796" spans="2:12" ht="18" customHeight="1">
      <c r="B796" s="5"/>
      <c r="D796" s="5"/>
      <c r="F796" s="5"/>
      <c r="H796" s="5"/>
      <c r="J796" s="5"/>
      <c r="L796" s="5"/>
    </row>
    <row r="797" spans="2:12" ht="18" customHeight="1">
      <c r="B797" s="5"/>
      <c r="D797" s="5"/>
      <c r="F797" s="5"/>
      <c r="H797" s="5"/>
      <c r="J797" s="5"/>
      <c r="L797" s="5"/>
    </row>
    <row r="798" spans="2:12" ht="18" customHeight="1">
      <c r="B798" s="5"/>
      <c r="D798" s="5"/>
      <c r="F798" s="5"/>
      <c r="H798" s="5"/>
      <c r="J798" s="5"/>
      <c r="L798" s="5"/>
    </row>
    <row r="799" spans="2:12" ht="18" customHeight="1">
      <c r="B799" s="5"/>
      <c r="D799" s="5"/>
      <c r="F799" s="5"/>
      <c r="H799" s="5"/>
      <c r="J799" s="5"/>
      <c r="L799" s="5"/>
    </row>
    <row r="800" spans="2:12" ht="18" customHeight="1">
      <c r="B800" s="5"/>
      <c r="D800" s="5"/>
      <c r="F800" s="5"/>
      <c r="H800" s="5"/>
      <c r="J800" s="5"/>
      <c r="L800" s="5"/>
    </row>
    <row r="801" spans="2:12" ht="18" customHeight="1">
      <c r="B801" s="5"/>
      <c r="D801" s="5"/>
      <c r="F801" s="5"/>
      <c r="H801" s="5"/>
      <c r="J801" s="5"/>
      <c r="L801" s="5"/>
    </row>
    <row r="802" spans="2:12" ht="18" customHeight="1">
      <c r="B802" s="5"/>
      <c r="D802" s="5"/>
      <c r="F802" s="5"/>
      <c r="H802" s="5"/>
      <c r="J802" s="5"/>
      <c r="L802" s="5"/>
    </row>
    <row r="803" spans="2:12" ht="18" customHeight="1">
      <c r="B803" s="5"/>
      <c r="D803" s="5"/>
      <c r="F803" s="5"/>
      <c r="H803" s="5"/>
      <c r="J803" s="5"/>
      <c r="L803" s="5"/>
    </row>
    <row r="804" spans="2:12" ht="18" customHeight="1">
      <c r="B804" s="5"/>
      <c r="D804" s="5"/>
      <c r="F804" s="5"/>
      <c r="H804" s="5"/>
      <c r="J804" s="5"/>
      <c r="L804" s="5"/>
    </row>
    <row r="805" spans="2:12" ht="18" customHeight="1">
      <c r="B805" s="5"/>
      <c r="D805" s="5"/>
      <c r="F805" s="5"/>
      <c r="H805" s="5"/>
      <c r="J805" s="5"/>
      <c r="L805" s="5"/>
    </row>
    <row r="806" spans="2:12" ht="18" customHeight="1">
      <c r="B806" s="5"/>
      <c r="D806" s="5"/>
      <c r="F806" s="5"/>
      <c r="H806" s="5"/>
      <c r="J806" s="5"/>
      <c r="L806" s="5"/>
    </row>
    <row r="807" spans="2:12" ht="18" customHeight="1">
      <c r="B807" s="5"/>
      <c r="D807" s="5"/>
      <c r="F807" s="5"/>
      <c r="H807" s="5"/>
      <c r="J807" s="5"/>
      <c r="L807" s="5"/>
    </row>
    <row r="808" spans="2:12" ht="18" customHeight="1">
      <c r="B808" s="5"/>
      <c r="D808" s="5"/>
      <c r="F808" s="5"/>
      <c r="H808" s="5"/>
      <c r="J808" s="5"/>
      <c r="L808" s="5"/>
    </row>
    <row r="809" spans="2:12" ht="18" customHeight="1">
      <c r="B809" s="5"/>
      <c r="D809" s="5"/>
      <c r="F809" s="5"/>
      <c r="H809" s="5"/>
      <c r="J809" s="5"/>
      <c r="L809" s="5"/>
    </row>
    <row r="810" spans="2:12" ht="18" customHeight="1">
      <c r="B810" s="5"/>
      <c r="D810" s="5"/>
      <c r="F810" s="5"/>
      <c r="H810" s="5"/>
      <c r="J810" s="5"/>
      <c r="L810" s="5"/>
    </row>
    <row r="811" spans="2:12" ht="18" customHeight="1">
      <c r="B811" s="5"/>
      <c r="D811" s="5"/>
      <c r="F811" s="5"/>
      <c r="H811" s="5"/>
      <c r="J811" s="5"/>
      <c r="L811" s="5"/>
    </row>
    <row r="812" spans="2:12" ht="18" customHeight="1">
      <c r="B812" s="5"/>
      <c r="D812" s="5"/>
      <c r="F812" s="5"/>
      <c r="H812" s="5"/>
      <c r="J812" s="5"/>
      <c r="L812" s="5"/>
    </row>
    <row r="813" spans="2:12" ht="18" customHeight="1">
      <c r="B813" s="5"/>
      <c r="D813" s="5"/>
      <c r="F813" s="5"/>
      <c r="H813" s="5"/>
      <c r="J813" s="5"/>
      <c r="L813" s="5"/>
    </row>
    <row r="814" spans="2:12" ht="18" customHeight="1">
      <c r="B814" s="5"/>
      <c r="D814" s="5"/>
      <c r="F814" s="5"/>
      <c r="H814" s="5"/>
      <c r="J814" s="5"/>
      <c r="L814" s="5"/>
    </row>
    <row r="815" spans="2:12" ht="18" customHeight="1">
      <c r="B815" s="5"/>
      <c r="D815" s="5"/>
      <c r="F815" s="5"/>
      <c r="H815" s="5"/>
      <c r="J815" s="5"/>
      <c r="L815" s="5"/>
    </row>
    <row r="816" spans="2:12" ht="18" customHeight="1">
      <c r="B816" s="5"/>
      <c r="D816" s="5"/>
      <c r="F816" s="5"/>
      <c r="H816" s="5"/>
      <c r="J816" s="5"/>
      <c r="L816" s="5"/>
    </row>
    <row r="817" spans="2:12" ht="18" customHeight="1">
      <c r="B817" s="5"/>
      <c r="D817" s="5"/>
      <c r="F817" s="5"/>
      <c r="H817" s="5"/>
      <c r="J817" s="5"/>
      <c r="L817" s="5"/>
    </row>
    <row r="818" spans="2:12" ht="18" customHeight="1">
      <c r="B818" s="5"/>
      <c r="D818" s="5"/>
      <c r="F818" s="5"/>
      <c r="H818" s="5"/>
      <c r="J818" s="5"/>
      <c r="L818" s="5"/>
    </row>
    <row r="819" spans="2:12" ht="18" customHeight="1">
      <c r="B819" s="5"/>
      <c r="D819" s="5"/>
      <c r="F819" s="5"/>
      <c r="H819" s="5"/>
      <c r="J819" s="5"/>
      <c r="L819" s="5"/>
    </row>
    <row r="820" spans="2:12" ht="18" customHeight="1">
      <c r="B820" s="5"/>
      <c r="D820" s="5"/>
      <c r="F820" s="5"/>
      <c r="H820" s="5"/>
      <c r="J820" s="5"/>
      <c r="L820" s="5"/>
    </row>
    <row r="821" spans="2:12" ht="18" customHeight="1">
      <c r="B821" s="5"/>
      <c r="D821" s="5"/>
      <c r="F821" s="5"/>
      <c r="H821" s="5"/>
      <c r="J821" s="5"/>
      <c r="L821" s="5"/>
    </row>
    <row r="822" spans="2:12" ht="18" customHeight="1">
      <c r="B822" s="5"/>
      <c r="D822" s="5"/>
      <c r="F822" s="5"/>
      <c r="H822" s="5"/>
      <c r="J822" s="5"/>
      <c r="L822" s="5"/>
    </row>
    <row r="823" spans="2:12" ht="18" customHeight="1">
      <c r="B823" s="5"/>
      <c r="D823" s="5"/>
      <c r="F823" s="5"/>
      <c r="H823" s="5"/>
      <c r="J823" s="5"/>
      <c r="L823" s="5"/>
    </row>
    <row r="824" spans="2:12" ht="18" customHeight="1">
      <c r="B824" s="5"/>
      <c r="D824" s="5"/>
      <c r="F824" s="5"/>
      <c r="H824" s="5"/>
      <c r="J824" s="5"/>
      <c r="L824" s="5"/>
    </row>
    <row r="825" spans="2:12" ht="18" customHeight="1">
      <c r="B825" s="5"/>
      <c r="D825" s="5"/>
      <c r="F825" s="5"/>
      <c r="H825" s="5"/>
      <c r="J825" s="5"/>
      <c r="L825" s="5"/>
    </row>
    <row r="826" spans="2:12" ht="18" customHeight="1">
      <c r="B826" s="5"/>
      <c r="D826" s="5"/>
      <c r="F826" s="5"/>
      <c r="H826" s="5"/>
      <c r="J826" s="5"/>
      <c r="L826" s="5"/>
    </row>
    <row r="827" spans="2:12" ht="18" customHeight="1">
      <c r="B827" s="5"/>
      <c r="D827" s="5"/>
      <c r="F827" s="5"/>
      <c r="H827" s="5"/>
      <c r="J827" s="5"/>
      <c r="L827" s="5"/>
    </row>
    <row r="828" spans="2:12" ht="18" customHeight="1">
      <c r="B828" s="5"/>
      <c r="D828" s="5"/>
      <c r="F828" s="5"/>
      <c r="H828" s="5"/>
      <c r="J828" s="5"/>
      <c r="L828" s="5"/>
    </row>
    <row r="829" spans="2:12" ht="18" customHeight="1">
      <c r="B829" s="5"/>
      <c r="D829" s="5"/>
      <c r="F829" s="5"/>
      <c r="H829" s="5"/>
      <c r="J829" s="5"/>
      <c r="L829" s="5"/>
    </row>
    <row r="830" spans="2:12" ht="18" customHeight="1">
      <c r="B830" s="5"/>
      <c r="D830" s="5"/>
      <c r="F830" s="5"/>
      <c r="H830" s="5"/>
      <c r="J830" s="5"/>
      <c r="L830" s="5"/>
    </row>
    <row r="831" spans="2:12" ht="18" customHeight="1">
      <c r="B831" s="5"/>
      <c r="D831" s="5"/>
      <c r="F831" s="5"/>
      <c r="H831" s="5"/>
      <c r="J831" s="5"/>
      <c r="L831" s="5"/>
    </row>
    <row r="832" spans="2:12" ht="18" customHeight="1">
      <c r="B832" s="5"/>
      <c r="D832" s="5"/>
      <c r="F832" s="5"/>
      <c r="H832" s="5"/>
      <c r="J832" s="5"/>
      <c r="L832" s="5"/>
    </row>
    <row r="833" spans="2:12" ht="18" customHeight="1">
      <c r="B833" s="5"/>
      <c r="D833" s="5"/>
      <c r="F833" s="5"/>
      <c r="H833" s="5"/>
      <c r="J833" s="5"/>
      <c r="L833" s="5"/>
    </row>
    <row r="834" spans="2:12" ht="18" customHeight="1">
      <c r="B834" s="5"/>
      <c r="D834" s="5"/>
      <c r="F834" s="5"/>
      <c r="H834" s="5"/>
      <c r="J834" s="5"/>
      <c r="L834" s="5"/>
    </row>
    <row r="835" spans="2:12" ht="18" customHeight="1">
      <c r="B835" s="5"/>
      <c r="D835" s="5"/>
      <c r="F835" s="5"/>
      <c r="H835" s="5"/>
      <c r="J835" s="5"/>
      <c r="L835" s="5"/>
    </row>
    <row r="836" spans="2:12" ht="18" customHeight="1">
      <c r="B836" s="5"/>
      <c r="D836" s="5"/>
      <c r="F836" s="5"/>
      <c r="H836" s="5"/>
      <c r="J836" s="5"/>
      <c r="L836" s="5"/>
    </row>
    <row r="837" spans="2:12" ht="18" customHeight="1">
      <c r="B837" s="5"/>
      <c r="D837" s="5"/>
      <c r="F837" s="5"/>
      <c r="H837" s="5"/>
      <c r="J837" s="5"/>
      <c r="L837" s="5"/>
    </row>
    <row r="838" spans="2:12" ht="18" customHeight="1">
      <c r="B838" s="5"/>
      <c r="D838" s="5"/>
      <c r="F838" s="5"/>
      <c r="H838" s="5"/>
      <c r="J838" s="5"/>
      <c r="L838" s="5"/>
    </row>
    <row r="839" spans="2:12" ht="18" customHeight="1">
      <c r="B839" s="5"/>
      <c r="D839" s="5"/>
      <c r="F839" s="5"/>
      <c r="H839" s="5"/>
      <c r="J839" s="5"/>
      <c r="L839" s="5"/>
    </row>
    <row r="840" spans="2:12" ht="18" customHeight="1">
      <c r="B840" s="5"/>
      <c r="D840" s="5"/>
      <c r="F840" s="5"/>
      <c r="H840" s="5"/>
      <c r="J840" s="5"/>
      <c r="L840" s="5"/>
    </row>
    <row r="841" spans="2:12" ht="18" customHeight="1">
      <c r="B841" s="5"/>
      <c r="D841" s="5"/>
      <c r="F841" s="5"/>
      <c r="H841" s="5"/>
      <c r="J841" s="5"/>
      <c r="L841" s="5"/>
    </row>
    <row r="842" spans="2:12" ht="18" customHeight="1">
      <c r="B842" s="5"/>
      <c r="D842" s="5"/>
      <c r="F842" s="5"/>
      <c r="H842" s="5"/>
      <c r="J842" s="5"/>
      <c r="L842" s="5"/>
    </row>
    <row r="843" spans="2:12" ht="18" customHeight="1">
      <c r="B843" s="5"/>
      <c r="D843" s="5"/>
      <c r="F843" s="5"/>
      <c r="H843" s="5"/>
      <c r="J843" s="5"/>
      <c r="L843" s="5"/>
    </row>
    <row r="844" spans="2:12" ht="18" customHeight="1">
      <c r="B844" s="5"/>
      <c r="D844" s="5"/>
      <c r="F844" s="5"/>
      <c r="H844" s="5"/>
      <c r="J844" s="5"/>
      <c r="L844" s="5"/>
    </row>
    <row r="845" spans="2:12" ht="18" customHeight="1">
      <c r="B845" s="5"/>
      <c r="D845" s="5"/>
      <c r="F845" s="5"/>
      <c r="H845" s="5"/>
      <c r="J845" s="5"/>
      <c r="L845" s="5"/>
    </row>
    <row r="846" spans="2:12" ht="18" customHeight="1">
      <c r="B846" s="5"/>
      <c r="D846" s="5"/>
      <c r="F846" s="5"/>
      <c r="H846" s="5"/>
      <c r="J846" s="5"/>
      <c r="L846" s="5"/>
    </row>
    <row r="847" spans="2:12" ht="18" customHeight="1">
      <c r="B847" s="5"/>
      <c r="D847" s="5"/>
      <c r="F847" s="5"/>
      <c r="H847" s="5"/>
      <c r="J847" s="5"/>
      <c r="L847" s="5"/>
    </row>
    <row r="848" spans="2:12" ht="18" customHeight="1">
      <c r="B848" s="5"/>
      <c r="D848" s="5"/>
      <c r="F848" s="5"/>
      <c r="H848" s="5"/>
      <c r="J848" s="5"/>
      <c r="L848" s="5"/>
    </row>
    <row r="849" spans="2:12" ht="18" customHeight="1">
      <c r="B849" s="5"/>
      <c r="D849" s="5"/>
      <c r="F849" s="5"/>
      <c r="H849" s="5"/>
      <c r="J849" s="5"/>
      <c r="L849" s="5"/>
    </row>
    <row r="850" spans="2:12" ht="18" customHeight="1">
      <c r="B850" s="5"/>
      <c r="D850" s="5"/>
      <c r="F850" s="5"/>
      <c r="H850" s="5"/>
      <c r="J850" s="5"/>
      <c r="L850" s="5"/>
    </row>
    <row r="851" spans="2:12" ht="18" customHeight="1">
      <c r="B851" s="5"/>
      <c r="D851" s="5"/>
      <c r="F851" s="5"/>
      <c r="H851" s="5"/>
      <c r="J851" s="5"/>
      <c r="L851" s="5"/>
    </row>
    <row r="852" spans="2:12" ht="18" customHeight="1">
      <c r="B852" s="5"/>
      <c r="D852" s="5"/>
      <c r="F852" s="5"/>
      <c r="H852" s="5"/>
      <c r="J852" s="5"/>
      <c r="L852" s="5"/>
    </row>
    <row r="853" spans="2:12" ht="18" customHeight="1">
      <c r="B853" s="5"/>
      <c r="D853" s="5"/>
      <c r="F853" s="5"/>
      <c r="H853" s="5"/>
      <c r="J853" s="5"/>
      <c r="L853" s="5"/>
    </row>
    <row r="854" spans="2:12" ht="18" customHeight="1">
      <c r="B854" s="5"/>
      <c r="D854" s="5"/>
      <c r="F854" s="5"/>
      <c r="H854" s="5"/>
      <c r="J854" s="5"/>
      <c r="L854" s="5"/>
    </row>
    <row r="855" spans="2:12" ht="18" customHeight="1">
      <c r="B855" s="5"/>
      <c r="D855" s="5"/>
      <c r="F855" s="5"/>
      <c r="H855" s="5"/>
      <c r="J855" s="5"/>
      <c r="L855" s="5"/>
    </row>
    <row r="856" spans="2:12" ht="18" customHeight="1">
      <c r="B856" s="5"/>
      <c r="D856" s="5"/>
      <c r="F856" s="5"/>
      <c r="H856" s="5"/>
      <c r="J856" s="5"/>
      <c r="L856" s="5"/>
    </row>
    <row r="857" spans="2:12" ht="18" customHeight="1">
      <c r="B857" s="5"/>
      <c r="D857" s="5"/>
      <c r="F857" s="5"/>
      <c r="H857" s="5"/>
      <c r="J857" s="5"/>
      <c r="L857" s="5"/>
    </row>
    <row r="858" spans="2:12" ht="18" customHeight="1">
      <c r="B858" s="5"/>
      <c r="D858" s="5"/>
      <c r="F858" s="5"/>
      <c r="H858" s="5"/>
      <c r="J858" s="5"/>
      <c r="L858" s="5"/>
    </row>
    <row r="859" spans="2:12" ht="18" customHeight="1">
      <c r="B859" s="5"/>
      <c r="D859" s="5"/>
      <c r="F859" s="5"/>
      <c r="H859" s="5"/>
      <c r="J859" s="5"/>
      <c r="L859" s="5"/>
    </row>
    <row r="860" spans="2:12" ht="18" customHeight="1">
      <c r="B860" s="5"/>
      <c r="D860" s="5"/>
      <c r="F860" s="5"/>
      <c r="H860" s="5"/>
      <c r="J860" s="5"/>
      <c r="L860" s="5"/>
    </row>
    <row r="861" spans="2:12" ht="18" customHeight="1">
      <c r="B861" s="5"/>
      <c r="D861" s="5"/>
      <c r="F861" s="5"/>
      <c r="H861" s="5"/>
      <c r="J861" s="5"/>
      <c r="L861" s="5"/>
    </row>
    <row r="862" spans="2:12" ht="18" customHeight="1">
      <c r="B862" s="5"/>
      <c r="D862" s="5"/>
      <c r="F862" s="5"/>
      <c r="H862" s="5"/>
      <c r="J862" s="5"/>
      <c r="L862" s="5"/>
    </row>
    <row r="863" spans="2:12" ht="18" customHeight="1">
      <c r="B863" s="5"/>
      <c r="D863" s="5"/>
      <c r="F863" s="5"/>
      <c r="H863" s="5"/>
      <c r="J863" s="5"/>
      <c r="L863" s="5"/>
    </row>
    <row r="864" spans="2:12" ht="18" customHeight="1">
      <c r="B864" s="5"/>
      <c r="D864" s="5"/>
      <c r="F864" s="5"/>
      <c r="H864" s="5"/>
      <c r="J864" s="5"/>
      <c r="L864" s="5"/>
    </row>
    <row r="865" spans="2:12" ht="18" customHeight="1">
      <c r="B865" s="5"/>
      <c r="D865" s="5"/>
      <c r="F865" s="5"/>
      <c r="H865" s="5"/>
      <c r="J865" s="5"/>
      <c r="L865" s="5"/>
    </row>
    <row r="866" spans="2:12" ht="18" customHeight="1">
      <c r="B866" s="5"/>
      <c r="D866" s="5"/>
      <c r="F866" s="5"/>
      <c r="H866" s="5"/>
      <c r="J866" s="5"/>
      <c r="L866" s="5"/>
    </row>
    <row r="867" spans="2:12" ht="18" customHeight="1">
      <c r="B867" s="5"/>
      <c r="D867" s="5"/>
      <c r="F867" s="5"/>
      <c r="H867" s="5"/>
      <c r="J867" s="5"/>
      <c r="L867" s="5"/>
    </row>
    <row r="868" spans="2:12" ht="18" customHeight="1">
      <c r="B868" s="5"/>
      <c r="D868" s="5"/>
      <c r="F868" s="5"/>
      <c r="H868" s="5"/>
      <c r="J868" s="5"/>
      <c r="L868" s="5"/>
    </row>
    <row r="869" spans="2:12" ht="18" customHeight="1">
      <c r="B869" s="5"/>
      <c r="D869" s="5"/>
      <c r="F869" s="5"/>
      <c r="H869" s="5"/>
      <c r="J869" s="5"/>
      <c r="L869" s="5"/>
    </row>
    <row r="870" spans="2:12" ht="18" customHeight="1">
      <c r="B870" s="5"/>
      <c r="D870" s="5"/>
      <c r="F870" s="5"/>
      <c r="H870" s="5"/>
      <c r="J870" s="5"/>
      <c r="L870" s="5"/>
    </row>
    <row r="871" spans="2:12" ht="18" customHeight="1">
      <c r="B871" s="5"/>
      <c r="D871" s="5"/>
      <c r="F871" s="5"/>
      <c r="H871" s="5"/>
      <c r="J871" s="5"/>
      <c r="L871" s="5"/>
    </row>
    <row r="872" spans="2:12" ht="18" customHeight="1">
      <c r="B872" s="5"/>
      <c r="D872" s="5"/>
      <c r="F872" s="5"/>
      <c r="H872" s="5"/>
      <c r="J872" s="5"/>
      <c r="L872" s="5"/>
    </row>
    <row r="873" spans="2:12" ht="18" customHeight="1">
      <c r="B873" s="5"/>
      <c r="D873" s="5"/>
      <c r="F873" s="5"/>
      <c r="H873" s="5"/>
      <c r="J873" s="5"/>
      <c r="L873" s="5"/>
    </row>
    <row r="874" spans="2:12" ht="18" customHeight="1">
      <c r="B874" s="5"/>
      <c r="D874" s="5"/>
      <c r="F874" s="5"/>
      <c r="H874" s="5"/>
      <c r="J874" s="5"/>
      <c r="L874" s="5"/>
    </row>
    <row r="875" spans="2:12" ht="18" customHeight="1">
      <c r="B875" s="5"/>
      <c r="D875" s="5"/>
      <c r="F875" s="5"/>
      <c r="H875" s="5"/>
      <c r="J875" s="5"/>
      <c r="L875" s="5"/>
    </row>
    <row r="876" spans="2:12" ht="18" customHeight="1">
      <c r="B876" s="5"/>
      <c r="D876" s="5"/>
      <c r="F876" s="5"/>
      <c r="H876" s="5"/>
      <c r="J876" s="5"/>
      <c r="L876" s="5"/>
    </row>
    <row r="877" spans="2:12" ht="18" customHeight="1">
      <c r="B877" s="5"/>
      <c r="D877" s="5"/>
      <c r="F877" s="5"/>
      <c r="H877" s="5"/>
      <c r="J877" s="5"/>
      <c r="L877" s="5"/>
    </row>
    <row r="878" spans="2:12" ht="18" customHeight="1">
      <c r="B878" s="5"/>
      <c r="D878" s="5"/>
      <c r="F878" s="5"/>
      <c r="H878" s="5"/>
      <c r="J878" s="5"/>
      <c r="L878" s="5"/>
    </row>
    <row r="879" spans="2:12" ht="18" customHeight="1">
      <c r="B879" s="5"/>
      <c r="D879" s="5"/>
      <c r="F879" s="5"/>
      <c r="H879" s="5"/>
      <c r="J879" s="5"/>
      <c r="L879" s="5"/>
    </row>
    <row r="880" spans="2:12" ht="18" customHeight="1">
      <c r="B880" s="5"/>
      <c r="D880" s="5"/>
      <c r="F880" s="5"/>
      <c r="H880" s="5"/>
      <c r="J880" s="5"/>
      <c r="L880" s="5"/>
    </row>
    <row r="881" spans="2:12" ht="18" customHeight="1">
      <c r="B881" s="5"/>
      <c r="D881" s="5"/>
      <c r="F881" s="5"/>
      <c r="H881" s="5"/>
      <c r="J881" s="5"/>
      <c r="L881" s="5"/>
    </row>
    <row r="882" spans="2:12" ht="18" customHeight="1">
      <c r="B882" s="5"/>
      <c r="D882" s="5"/>
      <c r="F882" s="5"/>
      <c r="H882" s="5"/>
      <c r="J882" s="5"/>
      <c r="L882" s="5"/>
    </row>
    <row r="883" spans="2:12" ht="18" customHeight="1">
      <c r="B883" s="5"/>
      <c r="D883" s="5"/>
      <c r="F883" s="5"/>
      <c r="H883" s="5"/>
      <c r="J883" s="5"/>
      <c r="L883" s="5"/>
    </row>
    <row r="884" spans="2:12" ht="18" customHeight="1">
      <c r="B884" s="5"/>
      <c r="D884" s="5"/>
      <c r="F884" s="5"/>
      <c r="H884" s="5"/>
      <c r="J884" s="5"/>
      <c r="L884" s="5"/>
    </row>
    <row r="885" spans="2:12" ht="18" customHeight="1">
      <c r="B885" s="5"/>
      <c r="D885" s="5"/>
      <c r="F885" s="5"/>
      <c r="H885" s="5"/>
      <c r="J885" s="5"/>
      <c r="L885" s="5"/>
    </row>
    <row r="886" spans="2:12" ht="18" customHeight="1">
      <c r="B886" s="5"/>
      <c r="D886" s="5"/>
      <c r="F886" s="5"/>
      <c r="H886" s="5"/>
      <c r="J886" s="5"/>
      <c r="L886" s="5"/>
    </row>
    <row r="887" spans="2:12" ht="18" customHeight="1">
      <c r="B887" s="5"/>
      <c r="D887" s="5"/>
      <c r="F887" s="5"/>
      <c r="H887" s="5"/>
      <c r="J887" s="5"/>
      <c r="L887" s="5"/>
    </row>
    <row r="888" spans="2:12" ht="18" customHeight="1">
      <c r="B888" s="5"/>
      <c r="D888" s="5"/>
      <c r="F888" s="5"/>
      <c r="H888" s="5"/>
      <c r="J888" s="5"/>
      <c r="L888" s="5"/>
    </row>
    <row r="889" spans="2:12" ht="18" customHeight="1">
      <c r="B889" s="5"/>
      <c r="D889" s="5"/>
      <c r="F889" s="5"/>
      <c r="H889" s="5"/>
      <c r="J889" s="5"/>
      <c r="L889" s="5"/>
    </row>
    <row r="890" spans="2:12" ht="18" customHeight="1">
      <c r="B890" s="5"/>
      <c r="D890" s="5"/>
      <c r="F890" s="5"/>
      <c r="H890" s="5"/>
      <c r="J890" s="5"/>
      <c r="L890" s="5"/>
    </row>
    <row r="891" spans="2:12" ht="18" customHeight="1">
      <c r="B891" s="5"/>
      <c r="D891" s="5"/>
      <c r="F891" s="5"/>
      <c r="H891" s="5"/>
      <c r="J891" s="5"/>
      <c r="L891" s="5"/>
    </row>
    <row r="892" spans="2:12" ht="18" customHeight="1">
      <c r="B892" s="5"/>
      <c r="D892" s="5"/>
      <c r="F892" s="5"/>
      <c r="H892" s="5"/>
      <c r="J892" s="5"/>
      <c r="L892" s="5"/>
    </row>
    <row r="893" spans="2:12" ht="18" customHeight="1">
      <c r="B893" s="5"/>
      <c r="D893" s="5"/>
      <c r="F893" s="5"/>
      <c r="H893" s="5"/>
      <c r="J893" s="5"/>
      <c r="L893" s="5"/>
    </row>
    <row r="894" spans="2:12" ht="18" customHeight="1">
      <c r="B894" s="5"/>
      <c r="D894" s="5"/>
      <c r="F894" s="5"/>
      <c r="H894" s="5"/>
      <c r="J894" s="5"/>
      <c r="L894" s="5"/>
    </row>
    <row r="895" spans="2:12" ht="18" customHeight="1">
      <c r="B895" s="5"/>
      <c r="D895" s="5"/>
      <c r="F895" s="5"/>
      <c r="H895" s="5"/>
      <c r="J895" s="5"/>
      <c r="L895" s="5"/>
    </row>
    <row r="896" spans="2:12" ht="18" customHeight="1">
      <c r="B896" s="5"/>
      <c r="D896" s="5"/>
      <c r="F896" s="5"/>
      <c r="H896" s="5"/>
      <c r="J896" s="5"/>
      <c r="L896" s="5"/>
    </row>
    <row r="897" spans="2:12" ht="18" customHeight="1">
      <c r="B897" s="5"/>
      <c r="D897" s="5"/>
      <c r="F897" s="5"/>
      <c r="H897" s="5"/>
      <c r="J897" s="5"/>
      <c r="L897" s="5"/>
    </row>
    <row r="898" spans="2:12" ht="18" customHeight="1">
      <c r="B898" s="5"/>
      <c r="D898" s="5"/>
      <c r="F898" s="5"/>
      <c r="H898" s="5"/>
      <c r="J898" s="5"/>
      <c r="L898" s="5"/>
    </row>
    <row r="899" spans="2:12" ht="18" customHeight="1">
      <c r="B899" s="5"/>
      <c r="D899" s="5"/>
      <c r="F899" s="5"/>
      <c r="H899" s="5"/>
      <c r="J899" s="5"/>
      <c r="L899" s="5"/>
    </row>
    <row r="900" spans="2:12" ht="18" customHeight="1">
      <c r="B900" s="5"/>
      <c r="D900" s="5"/>
      <c r="F900" s="5"/>
      <c r="H900" s="5"/>
      <c r="J900" s="5"/>
      <c r="L900" s="5"/>
    </row>
    <row r="901" spans="2:12" ht="18" customHeight="1">
      <c r="B901" s="5"/>
      <c r="D901" s="5"/>
      <c r="F901" s="5"/>
      <c r="H901" s="5"/>
      <c r="J901" s="5"/>
      <c r="L901" s="5"/>
    </row>
    <row r="902" spans="2:12" ht="18" customHeight="1">
      <c r="B902" s="5"/>
      <c r="D902" s="5"/>
      <c r="F902" s="5"/>
      <c r="H902" s="5"/>
      <c r="J902" s="5"/>
      <c r="L902" s="5"/>
    </row>
    <row r="903" spans="2:12" ht="18" customHeight="1">
      <c r="B903" s="5"/>
      <c r="D903" s="5"/>
      <c r="F903" s="5"/>
      <c r="H903" s="5"/>
      <c r="J903" s="5"/>
      <c r="L903" s="5"/>
    </row>
    <row r="904" spans="2:12" ht="18" customHeight="1">
      <c r="B904" s="5"/>
      <c r="D904" s="5"/>
      <c r="F904" s="5"/>
      <c r="H904" s="5"/>
      <c r="J904" s="5"/>
      <c r="L904" s="5"/>
    </row>
    <row r="905" spans="2:12" ht="18" customHeight="1">
      <c r="B905" s="5"/>
      <c r="D905" s="5"/>
      <c r="F905" s="5"/>
      <c r="H905" s="5"/>
      <c r="J905" s="5"/>
      <c r="L905" s="5"/>
    </row>
    <row r="906" spans="2:12" ht="18" customHeight="1">
      <c r="B906" s="5"/>
      <c r="D906" s="5"/>
      <c r="F906" s="5"/>
      <c r="H906" s="5"/>
      <c r="J906" s="5"/>
      <c r="L906" s="5"/>
    </row>
    <row r="907" spans="2:12" ht="18" customHeight="1">
      <c r="B907" s="5"/>
      <c r="D907" s="5"/>
      <c r="F907" s="5"/>
      <c r="H907" s="5"/>
      <c r="J907" s="5"/>
      <c r="L907" s="5"/>
    </row>
    <row r="908" spans="2:12" ht="18" customHeight="1">
      <c r="B908" s="5"/>
      <c r="D908" s="5"/>
      <c r="F908" s="5"/>
      <c r="H908" s="5"/>
      <c r="J908" s="5"/>
      <c r="L908" s="5"/>
    </row>
    <row r="909" spans="2:12" ht="18" customHeight="1">
      <c r="B909" s="5"/>
      <c r="D909" s="5"/>
      <c r="F909" s="5"/>
      <c r="H909" s="5"/>
      <c r="J909" s="5"/>
      <c r="L909" s="5"/>
    </row>
    <row r="910" spans="2:12" ht="18" customHeight="1">
      <c r="B910" s="5"/>
      <c r="D910" s="5"/>
      <c r="F910" s="5"/>
      <c r="H910" s="5"/>
      <c r="J910" s="5"/>
      <c r="L910" s="5"/>
    </row>
    <row r="911" spans="2:12" ht="18" customHeight="1">
      <c r="B911" s="5"/>
      <c r="D911" s="5"/>
      <c r="F911" s="5"/>
      <c r="H911" s="5"/>
      <c r="J911" s="5"/>
      <c r="L911" s="5"/>
    </row>
    <row r="912" spans="2:12" ht="18" customHeight="1">
      <c r="B912" s="5"/>
      <c r="D912" s="5"/>
      <c r="F912" s="5"/>
      <c r="H912" s="5"/>
      <c r="J912" s="5"/>
      <c r="L912" s="5"/>
    </row>
    <row r="913" spans="2:12" ht="18" customHeight="1">
      <c r="B913" s="5"/>
      <c r="D913" s="5"/>
      <c r="F913" s="5"/>
      <c r="H913" s="5"/>
      <c r="J913" s="5"/>
      <c r="L913" s="5"/>
    </row>
    <row r="914" spans="2:12" ht="18" customHeight="1">
      <c r="B914" s="5"/>
      <c r="D914" s="5"/>
      <c r="F914" s="5"/>
      <c r="H914" s="5"/>
      <c r="J914" s="5"/>
      <c r="L914" s="5"/>
    </row>
    <row r="915" spans="2:12" ht="18" customHeight="1">
      <c r="B915" s="5"/>
      <c r="D915" s="5"/>
      <c r="F915" s="5"/>
      <c r="H915" s="5"/>
      <c r="J915" s="5"/>
      <c r="L915" s="5"/>
    </row>
    <row r="916" spans="2:12" ht="18" customHeight="1">
      <c r="B916" s="5"/>
      <c r="D916" s="5"/>
      <c r="F916" s="5"/>
      <c r="H916" s="5"/>
      <c r="J916" s="5"/>
      <c r="L916" s="5"/>
    </row>
    <row r="917" spans="2:12" ht="18" customHeight="1">
      <c r="B917" s="5"/>
      <c r="D917" s="5"/>
      <c r="F917" s="5"/>
      <c r="H917" s="5"/>
      <c r="J917" s="5"/>
      <c r="L917" s="5"/>
    </row>
    <row r="918" spans="2:12" ht="18" customHeight="1">
      <c r="B918" s="5"/>
      <c r="D918" s="5"/>
      <c r="F918" s="5"/>
      <c r="H918" s="5"/>
      <c r="J918" s="5"/>
      <c r="L918" s="5"/>
    </row>
    <row r="919" spans="2:12" ht="18" customHeight="1">
      <c r="B919" s="5"/>
      <c r="D919" s="5"/>
      <c r="F919" s="5"/>
      <c r="H919" s="5"/>
      <c r="J919" s="5"/>
      <c r="L919" s="5"/>
    </row>
    <row r="920" spans="2:12" ht="18" customHeight="1">
      <c r="B920" s="5"/>
      <c r="D920" s="5"/>
      <c r="F920" s="5"/>
      <c r="H920" s="5"/>
      <c r="J920" s="5"/>
      <c r="L920" s="5"/>
    </row>
    <row r="921" spans="2:12" ht="18" customHeight="1">
      <c r="B921" s="5"/>
      <c r="D921" s="5"/>
      <c r="F921" s="5"/>
      <c r="H921" s="5"/>
      <c r="J921" s="5"/>
      <c r="L921" s="5"/>
    </row>
    <row r="922" spans="2:12" ht="18" customHeight="1">
      <c r="B922" s="5"/>
      <c r="D922" s="5"/>
      <c r="F922" s="5"/>
      <c r="H922" s="5"/>
      <c r="J922" s="5"/>
      <c r="L922" s="5"/>
    </row>
    <row r="923" spans="2:12" ht="18" customHeight="1">
      <c r="B923" s="5"/>
      <c r="D923" s="5"/>
      <c r="F923" s="5"/>
      <c r="H923" s="5"/>
      <c r="J923" s="5"/>
      <c r="L923" s="5"/>
    </row>
    <row r="924" spans="2:12" ht="18" customHeight="1">
      <c r="B924" s="5"/>
      <c r="D924" s="5"/>
      <c r="F924" s="5"/>
      <c r="H924" s="5"/>
      <c r="J924" s="5"/>
      <c r="L924" s="5"/>
    </row>
    <row r="925" spans="2:12" ht="18" customHeight="1">
      <c r="B925" s="5"/>
      <c r="D925" s="5"/>
      <c r="F925" s="5"/>
      <c r="H925" s="5"/>
      <c r="J925" s="5"/>
      <c r="L925" s="5"/>
    </row>
    <row r="926" spans="2:12" ht="18" customHeight="1">
      <c r="B926" s="5"/>
      <c r="D926" s="5"/>
      <c r="F926" s="5"/>
      <c r="H926" s="5"/>
      <c r="J926" s="5"/>
      <c r="L926" s="5"/>
    </row>
    <row r="927" spans="2:12" ht="18" customHeight="1">
      <c r="B927" s="5"/>
      <c r="D927" s="5"/>
      <c r="F927" s="5"/>
      <c r="H927" s="5"/>
      <c r="J927" s="5"/>
      <c r="L927" s="5"/>
    </row>
    <row r="928" spans="2:12" ht="18" customHeight="1">
      <c r="B928" s="5"/>
      <c r="D928" s="5"/>
      <c r="F928" s="5"/>
      <c r="H928" s="5"/>
      <c r="J928" s="5"/>
      <c r="L928" s="5"/>
    </row>
    <row r="929" spans="2:12" ht="18" customHeight="1">
      <c r="B929" s="5"/>
      <c r="D929" s="5"/>
      <c r="F929" s="5"/>
      <c r="H929" s="5"/>
      <c r="J929" s="5"/>
      <c r="L929" s="5"/>
    </row>
    <row r="930" spans="2:12" ht="18" customHeight="1">
      <c r="B930" s="5"/>
      <c r="D930" s="5"/>
      <c r="F930" s="5"/>
      <c r="H930" s="5"/>
      <c r="J930" s="5"/>
      <c r="L930" s="5"/>
    </row>
    <row r="931" spans="2:12" ht="18" customHeight="1">
      <c r="B931" s="5"/>
      <c r="D931" s="5"/>
      <c r="F931" s="5"/>
      <c r="H931" s="5"/>
      <c r="J931" s="5"/>
      <c r="L931" s="5"/>
    </row>
    <row r="932" spans="2:12" ht="18" customHeight="1">
      <c r="B932" s="5"/>
      <c r="D932" s="5"/>
      <c r="F932" s="5"/>
      <c r="H932" s="5"/>
      <c r="J932" s="5"/>
      <c r="L932" s="5"/>
    </row>
    <row r="933" spans="2:12" ht="18" customHeight="1">
      <c r="B933" s="5"/>
      <c r="D933" s="5"/>
      <c r="F933" s="5"/>
      <c r="H933" s="5"/>
      <c r="J933" s="5"/>
      <c r="L933" s="5"/>
    </row>
    <row r="934" spans="2:12" ht="18" customHeight="1">
      <c r="B934" s="5"/>
      <c r="D934" s="5"/>
      <c r="F934" s="5"/>
      <c r="H934" s="5"/>
      <c r="J934" s="5"/>
      <c r="L934" s="5"/>
    </row>
    <row r="935" spans="2:12" ht="18" customHeight="1">
      <c r="B935" s="5"/>
      <c r="D935" s="5"/>
      <c r="F935" s="5"/>
      <c r="H935" s="5"/>
      <c r="J935" s="5"/>
      <c r="L935" s="5"/>
    </row>
    <row r="936" spans="2:12" ht="18" customHeight="1">
      <c r="B936" s="5"/>
      <c r="D936" s="5"/>
      <c r="F936" s="5"/>
      <c r="H936" s="5"/>
      <c r="J936" s="5"/>
      <c r="L936" s="5"/>
    </row>
    <row r="937" spans="2:12" ht="18" customHeight="1">
      <c r="B937" s="5"/>
      <c r="D937" s="5"/>
      <c r="F937" s="5"/>
      <c r="H937" s="5"/>
      <c r="J937" s="5"/>
      <c r="L937" s="5"/>
    </row>
    <row r="938" spans="2:12" ht="18" customHeight="1">
      <c r="B938" s="5"/>
      <c r="D938" s="5"/>
      <c r="F938" s="5"/>
      <c r="H938" s="5"/>
      <c r="J938" s="5"/>
      <c r="L938" s="5"/>
    </row>
    <row r="939" spans="2:12" ht="18" customHeight="1">
      <c r="B939" s="5"/>
      <c r="D939" s="5"/>
      <c r="F939" s="5"/>
      <c r="H939" s="5"/>
      <c r="J939" s="5"/>
      <c r="L939" s="5"/>
    </row>
    <row r="940" spans="2:12" ht="18" customHeight="1">
      <c r="B940" s="5"/>
      <c r="D940" s="5"/>
      <c r="F940" s="5"/>
      <c r="H940" s="5"/>
      <c r="J940" s="5"/>
      <c r="L940" s="5"/>
    </row>
    <row r="941" spans="2:12" ht="18" customHeight="1">
      <c r="B941" s="5"/>
      <c r="D941" s="5"/>
      <c r="F941" s="5"/>
      <c r="H941" s="5"/>
      <c r="J941" s="5"/>
      <c r="L941" s="5"/>
    </row>
    <row r="942" spans="2:12" ht="18" customHeight="1">
      <c r="B942" s="5"/>
      <c r="D942" s="5"/>
      <c r="F942" s="5"/>
      <c r="H942" s="5"/>
      <c r="J942" s="5"/>
      <c r="L942" s="5"/>
    </row>
    <row r="943" spans="2:12" ht="18" customHeight="1">
      <c r="B943" s="5"/>
      <c r="D943" s="5"/>
      <c r="F943" s="5"/>
      <c r="H943" s="5"/>
      <c r="J943" s="5"/>
      <c r="L943" s="5"/>
    </row>
    <row r="944" spans="2:12" ht="18" customHeight="1">
      <c r="B944" s="5"/>
      <c r="D944" s="5"/>
      <c r="F944" s="5"/>
      <c r="H944" s="5"/>
      <c r="J944" s="5"/>
      <c r="L944" s="5"/>
    </row>
    <row r="945" spans="2:12" ht="18" customHeight="1">
      <c r="B945" s="5"/>
      <c r="D945" s="5"/>
      <c r="F945" s="5"/>
      <c r="H945" s="5"/>
      <c r="J945" s="5"/>
      <c r="L945" s="5"/>
    </row>
    <row r="946" spans="2:12" ht="18" customHeight="1">
      <c r="B946" s="5"/>
      <c r="D946" s="5"/>
      <c r="F946" s="5"/>
      <c r="H946" s="5"/>
      <c r="J946" s="5"/>
      <c r="L946" s="5"/>
    </row>
    <row r="947" spans="2:12" ht="18" customHeight="1">
      <c r="B947" s="5"/>
      <c r="D947" s="5"/>
      <c r="F947" s="5"/>
      <c r="H947" s="5"/>
      <c r="J947" s="5"/>
      <c r="L947" s="5"/>
    </row>
    <row r="948" spans="2:12" ht="18" customHeight="1">
      <c r="B948" s="5"/>
      <c r="D948" s="5"/>
      <c r="F948" s="5"/>
      <c r="H948" s="5"/>
      <c r="J948" s="5"/>
      <c r="L948" s="5"/>
    </row>
    <row r="949" spans="2:12" ht="18" customHeight="1">
      <c r="B949" s="5"/>
      <c r="D949" s="5"/>
      <c r="F949" s="5"/>
      <c r="H949" s="5"/>
      <c r="J949" s="5"/>
      <c r="L949" s="5"/>
    </row>
    <row r="950" spans="2:12" ht="18" customHeight="1">
      <c r="B950" s="5"/>
      <c r="D950" s="5"/>
      <c r="F950" s="5"/>
      <c r="H950" s="5"/>
      <c r="J950" s="5"/>
      <c r="L950" s="5"/>
    </row>
    <row r="951" spans="2:12" ht="18" customHeight="1">
      <c r="B951" s="5"/>
      <c r="D951" s="5"/>
      <c r="F951" s="5"/>
      <c r="H951" s="5"/>
      <c r="J951" s="5"/>
      <c r="L951" s="5"/>
    </row>
    <row r="952" spans="2:12" ht="18" customHeight="1">
      <c r="B952" s="5"/>
      <c r="D952" s="5"/>
      <c r="F952" s="5"/>
      <c r="H952" s="5"/>
      <c r="J952" s="5"/>
      <c r="L952" s="5"/>
    </row>
    <row r="953" spans="2:12" ht="18" customHeight="1">
      <c r="B953" s="5"/>
      <c r="D953" s="5"/>
      <c r="F953" s="5"/>
      <c r="H953" s="5"/>
      <c r="J953" s="5"/>
      <c r="L953" s="5"/>
    </row>
    <row r="954" spans="2:12" ht="18" customHeight="1">
      <c r="B954" s="5"/>
      <c r="D954" s="5"/>
      <c r="F954" s="5"/>
      <c r="H954" s="5"/>
      <c r="J954" s="5"/>
      <c r="L954" s="5"/>
    </row>
    <row r="955" spans="2:12" ht="18" customHeight="1">
      <c r="B955" s="5"/>
      <c r="D955" s="5"/>
      <c r="F955" s="5"/>
      <c r="H955" s="5"/>
      <c r="J955" s="5"/>
      <c r="L955" s="5"/>
    </row>
    <row r="956" spans="2:12" ht="18" customHeight="1">
      <c r="B956" s="5"/>
      <c r="D956" s="5"/>
      <c r="F956" s="5"/>
      <c r="H956" s="5"/>
      <c r="J956" s="5"/>
      <c r="L956" s="5"/>
    </row>
    <row r="957" spans="2:12" ht="18" customHeight="1">
      <c r="B957" s="5"/>
      <c r="D957" s="5"/>
      <c r="F957" s="5"/>
      <c r="H957" s="5"/>
      <c r="J957" s="5"/>
      <c r="L957" s="5"/>
    </row>
    <row r="958" spans="2:12" ht="18" customHeight="1">
      <c r="B958" s="5"/>
      <c r="D958" s="5"/>
      <c r="F958" s="5"/>
      <c r="H958" s="5"/>
      <c r="J958" s="5"/>
      <c r="L958" s="5"/>
    </row>
    <row r="959" spans="2:12" ht="18" customHeight="1">
      <c r="B959" s="5"/>
      <c r="D959" s="5"/>
      <c r="F959" s="5"/>
      <c r="H959" s="5"/>
      <c r="J959" s="5"/>
      <c r="L959" s="5"/>
    </row>
    <row r="960" spans="2:12" ht="18" customHeight="1">
      <c r="B960" s="5"/>
      <c r="D960" s="5"/>
      <c r="F960" s="5"/>
      <c r="H960" s="5"/>
      <c r="J960" s="5"/>
      <c r="L960" s="5"/>
    </row>
    <row r="961" spans="2:12" ht="18" customHeight="1">
      <c r="B961" s="5"/>
      <c r="D961" s="5"/>
      <c r="F961" s="5"/>
      <c r="H961" s="5"/>
      <c r="J961" s="5"/>
      <c r="L961" s="5"/>
    </row>
    <row r="962" spans="2:12" ht="18" customHeight="1">
      <c r="B962" s="5"/>
      <c r="D962" s="5"/>
      <c r="F962" s="5"/>
      <c r="H962" s="5"/>
      <c r="J962" s="5"/>
      <c r="L962" s="5"/>
    </row>
    <row r="963" spans="2:12" ht="18" customHeight="1">
      <c r="B963" s="5"/>
      <c r="D963" s="5"/>
      <c r="F963" s="5"/>
      <c r="H963" s="5"/>
      <c r="J963" s="5"/>
      <c r="L963" s="5"/>
    </row>
    <row r="964" spans="2:12" ht="18" customHeight="1">
      <c r="B964" s="5"/>
      <c r="D964" s="5"/>
      <c r="F964" s="5"/>
      <c r="H964" s="5"/>
      <c r="J964" s="5"/>
      <c r="L964" s="5"/>
    </row>
    <row r="965" spans="2:12" ht="18" customHeight="1">
      <c r="B965" s="5"/>
      <c r="D965" s="5"/>
      <c r="F965" s="5"/>
      <c r="H965" s="5"/>
      <c r="J965" s="5"/>
      <c r="L965" s="5"/>
    </row>
    <row r="966" spans="2:12" ht="18" customHeight="1">
      <c r="B966" s="5"/>
      <c r="D966" s="5"/>
      <c r="F966" s="5"/>
      <c r="H966" s="5"/>
      <c r="J966" s="5"/>
      <c r="L966" s="5"/>
    </row>
    <row r="967" spans="2:12" ht="18" customHeight="1">
      <c r="B967" s="5"/>
      <c r="D967" s="5"/>
      <c r="F967" s="5"/>
      <c r="H967" s="5"/>
      <c r="J967" s="5"/>
      <c r="L967" s="5"/>
    </row>
    <row r="968" spans="2:12" ht="18" customHeight="1">
      <c r="B968" s="5"/>
      <c r="D968" s="5"/>
      <c r="F968" s="5"/>
      <c r="H968" s="5"/>
      <c r="J968" s="5"/>
      <c r="L968" s="5"/>
    </row>
    <row r="969" spans="2:12" ht="18" customHeight="1">
      <c r="B969" s="5"/>
      <c r="D969" s="5"/>
      <c r="F969" s="5"/>
      <c r="H969" s="5"/>
      <c r="J969" s="5"/>
      <c r="L969" s="5"/>
    </row>
    <row r="970" spans="2:12" ht="18" customHeight="1">
      <c r="B970" s="5"/>
      <c r="D970" s="5"/>
      <c r="F970" s="5"/>
      <c r="H970" s="5"/>
      <c r="J970" s="5"/>
      <c r="L970" s="5"/>
    </row>
    <row r="971" spans="2:12" ht="18" customHeight="1">
      <c r="B971" s="5"/>
      <c r="D971" s="5"/>
      <c r="F971" s="5"/>
      <c r="H971" s="5"/>
      <c r="J971" s="5"/>
      <c r="L971" s="5"/>
    </row>
    <row r="972" spans="2:12" ht="18" customHeight="1">
      <c r="B972" s="5"/>
      <c r="D972" s="5"/>
      <c r="F972" s="5"/>
      <c r="H972" s="5"/>
      <c r="J972" s="5"/>
      <c r="L972" s="5"/>
    </row>
    <row r="973" spans="2:12" ht="18" customHeight="1">
      <c r="B973" s="5"/>
      <c r="D973" s="5"/>
      <c r="F973" s="5"/>
      <c r="H973" s="5"/>
      <c r="J973" s="5"/>
      <c r="L973" s="5"/>
    </row>
    <row r="974" spans="2:12" ht="18" customHeight="1">
      <c r="B974" s="5"/>
      <c r="D974" s="5"/>
      <c r="F974" s="5"/>
      <c r="H974" s="5"/>
      <c r="J974" s="5"/>
      <c r="L974" s="5"/>
    </row>
    <row r="975" spans="2:12" ht="18" customHeight="1">
      <c r="B975" s="5"/>
      <c r="D975" s="5"/>
      <c r="F975" s="5"/>
      <c r="H975" s="5"/>
      <c r="J975" s="5"/>
      <c r="L975" s="5"/>
    </row>
    <row r="976" spans="2:12" ht="18" customHeight="1">
      <c r="B976" s="5"/>
      <c r="D976" s="5"/>
      <c r="F976" s="5"/>
      <c r="H976" s="5"/>
      <c r="J976" s="5"/>
      <c r="L976" s="5"/>
    </row>
    <row r="977" spans="2:12" ht="18" customHeight="1">
      <c r="B977" s="5"/>
      <c r="D977" s="5"/>
      <c r="F977" s="5"/>
      <c r="H977" s="5"/>
      <c r="J977" s="5"/>
      <c r="L977" s="5"/>
    </row>
    <row r="978" spans="2:12" ht="18" customHeight="1">
      <c r="B978" s="5"/>
      <c r="D978" s="5"/>
      <c r="F978" s="5"/>
      <c r="H978" s="5"/>
      <c r="J978" s="5"/>
      <c r="L978" s="5"/>
    </row>
    <row r="979" spans="2:12" ht="18" customHeight="1">
      <c r="B979" s="5"/>
      <c r="D979" s="5"/>
      <c r="F979" s="5"/>
      <c r="H979" s="5"/>
      <c r="J979" s="5"/>
      <c r="L979" s="5"/>
    </row>
    <row r="980" spans="2:12" ht="18" customHeight="1">
      <c r="B980" s="5"/>
      <c r="D980" s="5"/>
      <c r="F980" s="5"/>
      <c r="H980" s="5"/>
      <c r="J980" s="5"/>
      <c r="L980" s="5"/>
    </row>
    <row r="981" spans="2:12" ht="18" customHeight="1">
      <c r="B981" s="5"/>
      <c r="D981" s="5"/>
      <c r="F981" s="5"/>
      <c r="H981" s="5"/>
      <c r="J981" s="5"/>
      <c r="L981" s="5"/>
    </row>
    <row r="982" spans="2:12" ht="18" customHeight="1">
      <c r="B982" s="5"/>
      <c r="D982" s="5"/>
      <c r="F982" s="5"/>
      <c r="H982" s="5"/>
      <c r="J982" s="5"/>
      <c r="L982" s="5"/>
    </row>
    <row r="983" spans="2:12" ht="18" customHeight="1">
      <c r="B983" s="5"/>
      <c r="D983" s="5"/>
      <c r="F983" s="5"/>
      <c r="H983" s="5"/>
      <c r="J983" s="5"/>
      <c r="L983" s="5"/>
    </row>
    <row r="984" spans="2:12" ht="18" customHeight="1">
      <c r="B984" s="5"/>
      <c r="D984" s="5"/>
      <c r="F984" s="5"/>
      <c r="H984" s="5"/>
      <c r="J984" s="5"/>
      <c r="L984" s="5"/>
    </row>
    <row r="985" spans="2:12" ht="18" customHeight="1">
      <c r="B985" s="5"/>
      <c r="D985" s="5"/>
      <c r="F985" s="5"/>
      <c r="H985" s="5"/>
      <c r="J985" s="5"/>
      <c r="L985" s="5"/>
    </row>
    <row r="986" spans="2:12" ht="18" customHeight="1">
      <c r="B986" s="5"/>
      <c r="D986" s="5"/>
      <c r="F986" s="5"/>
      <c r="H986" s="5"/>
      <c r="J986" s="5"/>
      <c r="L986" s="5"/>
    </row>
    <row r="987" spans="2:12" ht="18" customHeight="1">
      <c r="B987" s="5"/>
      <c r="D987" s="5"/>
      <c r="F987" s="5"/>
      <c r="H987" s="5"/>
      <c r="J987" s="5"/>
      <c r="L987" s="5"/>
    </row>
    <row r="988" spans="2:12" ht="18" customHeight="1">
      <c r="B988" s="5"/>
      <c r="D988" s="5"/>
      <c r="F988" s="5"/>
      <c r="H988" s="5"/>
      <c r="J988" s="5"/>
      <c r="L988" s="5"/>
    </row>
    <row r="989" spans="2:12" ht="18" customHeight="1">
      <c r="B989" s="5"/>
      <c r="D989" s="5"/>
      <c r="F989" s="5"/>
      <c r="H989" s="5"/>
      <c r="J989" s="5"/>
      <c r="L989" s="5"/>
    </row>
    <row r="990" spans="2:12" ht="18" customHeight="1">
      <c r="B990" s="5"/>
      <c r="D990" s="5"/>
      <c r="F990" s="5"/>
      <c r="H990" s="5"/>
      <c r="J990" s="5"/>
      <c r="L990" s="5"/>
    </row>
    <row r="991" spans="2:12" ht="18" customHeight="1">
      <c r="B991" s="5"/>
      <c r="D991" s="5"/>
      <c r="F991" s="5"/>
      <c r="H991" s="5"/>
      <c r="J991" s="5"/>
      <c r="L991" s="5"/>
    </row>
    <row r="992" spans="2:12" ht="18" customHeight="1">
      <c r="B992" s="5"/>
      <c r="D992" s="5"/>
      <c r="F992" s="5"/>
      <c r="H992" s="5"/>
      <c r="J992" s="5"/>
      <c r="L992" s="5"/>
    </row>
    <row r="993" spans="2:12" ht="18" customHeight="1">
      <c r="B993" s="5"/>
      <c r="D993" s="5"/>
      <c r="F993" s="5"/>
      <c r="H993" s="5"/>
      <c r="J993" s="5"/>
      <c r="L993" s="5"/>
    </row>
    <row r="994" spans="2:12" ht="18" customHeight="1">
      <c r="B994" s="5"/>
      <c r="D994" s="5"/>
      <c r="F994" s="5"/>
      <c r="H994" s="5"/>
      <c r="J994" s="5"/>
      <c r="L994" s="5"/>
    </row>
    <row r="995" spans="2:12" ht="18" customHeight="1">
      <c r="B995" s="5"/>
      <c r="D995" s="5"/>
      <c r="F995" s="5"/>
      <c r="H995" s="5"/>
      <c r="J995" s="5"/>
      <c r="L995" s="5"/>
    </row>
    <row r="996" spans="2:12" ht="18" customHeight="1">
      <c r="B996" s="5"/>
      <c r="D996" s="5"/>
      <c r="F996" s="5"/>
      <c r="H996" s="5"/>
      <c r="J996" s="5"/>
      <c r="L996" s="5"/>
    </row>
    <row r="997" spans="2:12" ht="18" customHeight="1">
      <c r="B997" s="5"/>
      <c r="D997" s="5"/>
      <c r="F997" s="5"/>
      <c r="H997" s="5"/>
      <c r="J997" s="5"/>
      <c r="L997" s="5"/>
    </row>
    <row r="998" spans="2:12" ht="18" customHeight="1">
      <c r="B998" s="5"/>
      <c r="D998" s="5"/>
      <c r="F998" s="5"/>
      <c r="H998" s="5"/>
      <c r="J998" s="5"/>
      <c r="L998" s="5"/>
    </row>
    <row r="999" spans="2:12" ht="18" customHeight="1">
      <c r="B999" s="5"/>
      <c r="D999" s="5"/>
      <c r="F999" s="5"/>
      <c r="H999" s="5"/>
      <c r="J999" s="5"/>
      <c r="L999" s="5"/>
    </row>
    <row r="1000" spans="2:12" ht="18" customHeight="1">
      <c r="B1000" s="5"/>
      <c r="D1000" s="5"/>
      <c r="F1000" s="5"/>
      <c r="H1000" s="5"/>
      <c r="J1000" s="5"/>
      <c r="L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KK</vt:lpstr>
      <vt:lpstr>NN</vt:lpstr>
      <vt:lpstr>JS YbReRunShifts</vt:lpstr>
      <vt:lpstr>MCM</vt:lpstr>
      <vt:lpstr>Diffs</vt:lpstr>
      <vt:lpstr>ST_diffs</vt:lpstr>
      <vt:lpstr>JS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Thornton, Suzanne M. (Assoc)</cp:lastModifiedBy>
  <dcterms:created xsi:type="dcterms:W3CDTF">2025-06-23T16:50:14Z</dcterms:created>
  <dcterms:modified xsi:type="dcterms:W3CDTF">2025-06-23T18:06:36Z</dcterms:modified>
</cp:coreProperties>
</file>